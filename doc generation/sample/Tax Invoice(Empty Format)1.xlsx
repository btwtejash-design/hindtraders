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https://d.docs.live.net/1452b9b81bcb5eed/Documents/IREPS/Tax Invoice/Format/"/>
    </mc:Choice>
  </mc:AlternateContent>
  <xr:revisionPtr revIDLastSave="77" documentId="13_ncr:1_{1E5CD85A-8F95-40D1-BB71-95F81597FDDD}" xr6:coauthVersionLast="47" xr6:coauthVersionMax="47" xr10:uidLastSave="{94682C65-CE1E-49C5-96D6-9AC6D7034E89}"/>
  <bookViews>
    <workbookView xWindow="-108" yWindow="-108" windowWidth="23256" windowHeight="12456" firstSheet="19" activeTab="34" xr2:uid="{6001758A-83A9-46E2-8895-86952ECF68F6}"/>
  </bookViews>
  <sheets>
    <sheet name="Sheet1" sheetId="1" r:id="rId1"/>
    <sheet name="6" sheetId="3" r:id="rId2"/>
    <sheet name="13" sheetId="4" r:id="rId3"/>
    <sheet name="04" sheetId="5" r:id="rId4"/>
    <sheet name="10" sheetId="6" r:id="rId5"/>
    <sheet name="14" sheetId="8" r:id="rId6"/>
    <sheet name="Eco Solvent" sheetId="9" r:id="rId7"/>
    <sheet name="15" sheetId="12" r:id="rId8"/>
    <sheet name="17" sheetId="13" r:id="rId9"/>
    <sheet name="makita angle grinder" sheetId="10" r:id="rId10"/>
    <sheet name="18" sheetId="14" r:id="rId11"/>
    <sheet name="12" sheetId="15" r:id="rId12"/>
    <sheet name="19" sheetId="16" r:id="rId13"/>
    <sheet name="20" sheetId="18" r:id="rId14"/>
    <sheet name="21" sheetId="19" r:id="rId15"/>
    <sheet name="22" sheetId="20" r:id="rId16"/>
    <sheet name="23" sheetId="21" r:id="rId17"/>
    <sheet name="24" sheetId="23" r:id="rId18"/>
    <sheet name="25" sheetId="29" r:id="rId19"/>
    <sheet name="26" sheetId="26" r:id="rId20"/>
    <sheet name="27" sheetId="27" r:id="rId21"/>
    <sheet name="29" sheetId="30" r:id="rId22"/>
    <sheet name="30" sheetId="31" r:id="rId23"/>
    <sheet name="32" sheetId="33" r:id="rId24"/>
    <sheet name="33" sheetId="35" r:id="rId25"/>
    <sheet name="34" sheetId="36" r:id="rId26"/>
    <sheet name="35" sheetId="37" r:id="rId27"/>
    <sheet name="36" sheetId="38" r:id="rId28"/>
    <sheet name="37" sheetId="39" r:id="rId29"/>
    <sheet name="38" sheetId="40" r:id="rId30"/>
    <sheet name="39" sheetId="41" r:id="rId31"/>
    <sheet name="40" sheetId="42" r:id="rId32"/>
    <sheet name="41" sheetId="43" r:id="rId33"/>
    <sheet name="42" sheetId="44" r:id="rId34"/>
    <sheet name="43" sheetId="45" r:id="rId3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0" i="45" l="1"/>
  <c r="J39" i="45"/>
  <c r="K34" i="45"/>
  <c r="K31" i="45"/>
  <c r="K28" i="45"/>
  <c r="K25" i="45"/>
  <c r="K22" i="45"/>
  <c r="K22" i="44"/>
  <c r="J40" i="44" s="1"/>
  <c r="K22" i="43"/>
  <c r="J40" i="43" s="1"/>
  <c r="K22" i="42"/>
  <c r="J40" i="42" s="1"/>
  <c r="K22" i="41"/>
  <c r="J40" i="41" s="1"/>
  <c r="K22" i="40"/>
  <c r="J40" i="40" s="1"/>
  <c r="K22" i="39"/>
  <c r="J40" i="39" s="1"/>
  <c r="K22" i="38"/>
  <c r="J40" i="38" s="1"/>
  <c r="K22" i="37"/>
  <c r="J40" i="37" s="1"/>
  <c r="K22" i="36"/>
  <c r="J40" i="36" s="1"/>
  <c r="K22" i="35"/>
  <c r="J40" i="35" s="1"/>
  <c r="K22" i="33"/>
  <c r="J40" i="33" s="1"/>
  <c r="J38" i="31"/>
  <c r="K22" i="31"/>
  <c r="K22" i="30"/>
  <c r="J40" i="30" s="1"/>
  <c r="K22" i="29"/>
  <c r="J40" i="29" s="1"/>
  <c r="K22" i="27"/>
  <c r="J40" i="27" s="1"/>
  <c r="K22" i="26"/>
  <c r="J40" i="26" s="1"/>
  <c r="K22" i="23"/>
  <c r="J40" i="23" s="1"/>
  <c r="K22" i="21"/>
  <c r="J40" i="21" s="1"/>
  <c r="K22" i="20"/>
  <c r="J40" i="20" s="1"/>
  <c r="K22" i="19"/>
  <c r="J40" i="19" s="1"/>
  <c r="K22" i="18"/>
  <c r="J40" i="18" s="1"/>
  <c r="J38" i="45" l="1" a="1"/>
  <c r="J38" i="45" s="1"/>
  <c r="J38" i="44"/>
  <c r="J39" i="44"/>
  <c r="J38" i="43"/>
  <c r="J39" i="43"/>
  <c r="J39" i="42"/>
  <c r="J38" i="42"/>
  <c r="J41" i="42" s="1"/>
  <c r="J38" i="41"/>
  <c r="J39" i="41"/>
  <c r="J38" i="40"/>
  <c r="J39" i="40"/>
  <c r="J38" i="39"/>
  <c r="J39" i="39"/>
  <c r="J38" i="38"/>
  <c r="J39" i="38"/>
  <c r="J38" i="37"/>
  <c r="J39" i="37"/>
  <c r="J38" i="36"/>
  <c r="J39" i="36"/>
  <c r="J38" i="35"/>
  <c r="J41" i="35" s="1"/>
  <c r="J39" i="35"/>
  <c r="J38" i="33"/>
  <c r="J39" i="33"/>
  <c r="J41" i="31"/>
  <c r="J38" i="30"/>
  <c r="J39" i="30"/>
  <c r="J38" i="29"/>
  <c r="J39" i="29"/>
  <c r="J38" i="27"/>
  <c r="J39" i="27"/>
  <c r="J38" i="26"/>
  <c r="J39" i="26"/>
  <c r="J38" i="23"/>
  <c r="J39" i="23"/>
  <c r="J38" i="21"/>
  <c r="J39" i="21"/>
  <c r="J38" i="20"/>
  <c r="J39" i="20"/>
  <c r="J38" i="19"/>
  <c r="J39" i="19"/>
  <c r="J38" i="18"/>
  <c r="J39" i="18"/>
  <c r="K22" i="16"/>
  <c r="J40" i="16" s="1"/>
  <c r="K22" i="15"/>
  <c r="J40" i="15" s="1"/>
  <c r="K22" i="14"/>
  <c r="J40" i="14" s="1"/>
  <c r="K22" i="13"/>
  <c r="J40" i="13" s="1"/>
  <c r="K22" i="12"/>
  <c r="J40" i="12" s="1"/>
  <c r="K22" i="10"/>
  <c r="J40" i="10" s="1"/>
  <c r="K22" i="9"/>
  <c r="J40" i="9" s="1"/>
  <c r="K22" i="8"/>
  <c r="J40" i="8" s="1"/>
  <c r="J38" i="6"/>
  <c r="J41" i="6" s="1"/>
  <c r="J41" i="45" l="1"/>
  <c r="J41" i="44"/>
  <c r="J41" i="43"/>
  <c r="J41" i="41"/>
  <c r="J41" i="40"/>
  <c r="J41" i="39"/>
  <c r="J41" i="38"/>
  <c r="J41" i="37"/>
  <c r="J41" i="36"/>
  <c r="J41" i="33"/>
  <c r="J41" i="30"/>
  <c r="J41" i="29"/>
  <c r="J41" i="27"/>
  <c r="J41" i="26"/>
  <c r="J41" i="23"/>
  <c r="J41" i="21"/>
  <c r="J41" i="20"/>
  <c r="J41" i="19"/>
  <c r="J41" i="18"/>
  <c r="J38" i="16"/>
  <c r="J39" i="16"/>
  <c r="J38" i="15"/>
  <c r="J39" i="15"/>
  <c r="J38" i="14"/>
  <c r="J39" i="14"/>
  <c r="J38" i="13"/>
  <c r="J39" i="13"/>
  <c r="J38" i="12"/>
  <c r="J39" i="12"/>
  <c r="J38" i="10"/>
  <c r="J39" i="10"/>
  <c r="J38" i="9"/>
  <c r="J39" i="9"/>
  <c r="J38" i="8"/>
  <c r="J39" i="8"/>
  <c r="K22" i="6"/>
  <c r="K22" i="5"/>
  <c r="J22" i="4"/>
  <c r="J39" i="4" s="1"/>
  <c r="I22" i="3"/>
  <c r="I39" i="3" s="1"/>
  <c r="J41" i="16" l="1"/>
  <c r="J41" i="15"/>
  <c r="J41" i="14"/>
  <c r="J41" i="13"/>
  <c r="J41" i="12"/>
  <c r="J41" i="10"/>
  <c r="J41" i="9"/>
  <c r="J41" i="8"/>
  <c r="J39" i="6"/>
  <c r="J40" i="6"/>
  <c r="J39" i="5"/>
  <c r="J40" i="5"/>
  <c r="J40" i="4"/>
  <c r="J38" i="4" s="1"/>
  <c r="J41" i="4" s="1"/>
  <c r="D38" i="4" a="1"/>
  <c r="J38" i="5" l="1"/>
  <c r="J41" i="5" s="1"/>
  <c r="D38"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futureMetadata name="XLDAPR" count="1">
    <bk>
      <extLst>
        <ext uri="{bdbb8cdc-fa1e-496e-a857-3c3f30c029c3}">
          <xda:dynamicArrayProperties fDynamic="1" fCollapsed="0"/>
        </ext>
      </extLst>
    </bk>
  </futureMetadata>
  <cellMetadata count="1">
    <bk>
      <rc t="2" v="0"/>
    </bk>
  </cellMetadata>
  <valueMetadata count="3">
    <bk>
      <rc t="1" v="0"/>
    </bk>
    <bk>
      <rc t="1" v="1"/>
    </bk>
    <bk>
      <rc t="1" v="2"/>
    </bk>
  </valueMetadata>
</metadata>
</file>

<file path=xl/sharedStrings.xml><?xml version="1.0" encoding="utf-8"?>
<sst xmlns="http://schemas.openxmlformats.org/spreadsheetml/2006/main" count="1675" uniqueCount="287">
  <si>
    <t>TAX INVOICE</t>
  </si>
  <si>
    <t>DETAILS</t>
  </si>
  <si>
    <t>DATE:</t>
  </si>
  <si>
    <t>INVOICE NO:</t>
  </si>
  <si>
    <t>BILL TO</t>
  </si>
  <si>
    <t>TO:</t>
  </si>
  <si>
    <t>DEPARTMENT:</t>
  </si>
  <si>
    <t>LOCATION:</t>
  </si>
  <si>
    <t>CONSIGNEE:</t>
  </si>
  <si>
    <t>STATE CODE:</t>
  </si>
  <si>
    <t>FROM</t>
  </si>
  <si>
    <t>COMPANY:</t>
  </si>
  <si>
    <t>ADDRESS:</t>
  </si>
  <si>
    <t>PHONE:</t>
  </si>
  <si>
    <t>E-MAIL:</t>
  </si>
  <si>
    <t>Hind Traders</t>
  </si>
  <si>
    <t>Jamalpur, Bihar</t>
  </si>
  <si>
    <t>+91 7903235877</t>
  </si>
  <si>
    <t>hindtraders19699@gmail.com</t>
  </si>
  <si>
    <t>Chhoti Keshoput Nakki Nagar
Jamalpur, Bihar, 811214</t>
  </si>
  <si>
    <t>Deputy Chief Administrative Officer (W)</t>
  </si>
  <si>
    <t>Eastern Railway Workshop, Locomotive Works</t>
  </si>
  <si>
    <t>Bihar - 10</t>
  </si>
  <si>
    <t>PO.NO:</t>
  </si>
  <si>
    <t>DELIVERY CHAALAN NO:</t>
  </si>
  <si>
    <t>Sr. No.</t>
  </si>
  <si>
    <t>Total (₹)</t>
  </si>
  <si>
    <t>Rate (₹)</t>
  </si>
  <si>
    <t>Quantity</t>
  </si>
  <si>
    <t xml:space="preserve">HSN </t>
  </si>
  <si>
    <t>Description</t>
  </si>
  <si>
    <t>Taxable Amount:</t>
  </si>
  <si>
    <t>SGST:</t>
  </si>
  <si>
    <t>CGST:</t>
  </si>
  <si>
    <t>Grand Total:</t>
  </si>
  <si>
    <t>Grand Total in Words:</t>
  </si>
  <si>
    <t>Account Details-</t>
  </si>
  <si>
    <t>Bank:</t>
  </si>
  <si>
    <t>Account No:</t>
  </si>
  <si>
    <t>IFSC Code:</t>
  </si>
  <si>
    <t>Branch:</t>
  </si>
  <si>
    <t>Bank Of Baroda</t>
  </si>
  <si>
    <t>37230200000116</t>
  </si>
  <si>
    <t>JAMALPUR</t>
  </si>
  <si>
    <t>BARB0JAMALP</t>
  </si>
  <si>
    <t>---</t>
  </si>
  <si>
    <t>GSTIN:</t>
  </si>
  <si>
    <t>10DFIPK1994B1ZS</t>
  </si>
  <si>
    <t>-Propiretor</t>
  </si>
  <si>
    <t>23/05/2025</t>
  </si>
  <si>
    <t xml:space="preserve">Industrial  Rubber Company </t>
  </si>
  <si>
    <t>No: 239, Manayeripatti main road, 
Vendaympatti, Thanjavur - 613402,
Tamilnadu, India</t>
  </si>
  <si>
    <t>33AABFI8042B1ZY</t>
  </si>
  <si>
    <r>
      <t xml:space="preserve">Quantity
</t>
    </r>
    <r>
      <rPr>
        <b/>
        <i/>
        <sz val="9"/>
        <color theme="1"/>
        <rFont val="Aptos Narrow"/>
        <family val="2"/>
        <scheme val="minor"/>
      </rPr>
      <t>(set)</t>
    </r>
  </si>
  <si>
    <t>IGST:</t>
  </si>
  <si>
    <t>Seven Thousand Eighty Rupees Only</t>
  </si>
  <si>
    <t>NIL</t>
  </si>
  <si>
    <t>Chhoti Keshopur Nakki Nagar
Jamalpur, Bihar, 811214</t>
  </si>
  <si>
    <r>
      <rPr>
        <sz val="11"/>
        <color theme="1"/>
        <rFont val="Bahnschrift"/>
        <family val="2"/>
      </rPr>
      <t>High-Tensile Hex Head Bolt with Nut and Washer</t>
    </r>
    <r>
      <rPr>
        <sz val="11"/>
        <color theme="1"/>
        <rFont val="Aptos Narrow"/>
        <family val="2"/>
        <scheme val="minor"/>
      </rPr>
      <t xml:space="preserve"> 
</t>
    </r>
    <r>
      <rPr>
        <i/>
        <sz val="11"/>
        <color theme="1"/>
        <rFont val="Aptos Narrow"/>
        <family val="2"/>
        <scheme val="minor"/>
      </rPr>
      <t>Size- 20 x 80 mm</t>
    </r>
  </si>
  <si>
    <t>Neoprene rubber gasket for pneumatic joints. SL No. from 3 to 8 Nos. as per Drg. No. M5/247/ER Accepted Make:- MK Rubber</t>
  </si>
  <si>
    <r>
      <t xml:space="preserve">Quantity
</t>
    </r>
    <r>
      <rPr>
        <b/>
        <sz val="10"/>
        <color theme="1"/>
        <rFont val="Aptos Narrow"/>
        <family val="2"/>
        <scheme val="minor"/>
      </rPr>
      <t>(Set)</t>
    </r>
  </si>
  <si>
    <t>Rate/Set (₹)</t>
  </si>
  <si>
    <r>
      <t xml:space="preserve">CRN NO:  </t>
    </r>
    <r>
      <rPr>
        <sz val="11"/>
        <color theme="1"/>
        <rFont val="Aptos Narrow"/>
        <family val="2"/>
        <scheme val="minor"/>
      </rPr>
      <t>073519-25-03024</t>
    </r>
  </si>
  <si>
    <t>Deputy Chief Account Officer (W)</t>
  </si>
  <si>
    <r>
      <t xml:space="preserve">DATE:  </t>
    </r>
    <r>
      <rPr>
        <sz val="11"/>
        <color theme="1"/>
        <rFont val="Aptos Narrow"/>
        <family val="2"/>
        <scheme val="minor"/>
      </rPr>
      <t>23-07-2025</t>
    </r>
    <r>
      <rPr>
        <b/>
        <sz val="11"/>
        <color theme="1"/>
        <rFont val="Aptos Narrow"/>
        <family val="2"/>
        <scheme val="minor"/>
      </rPr>
      <t xml:space="preserve">	</t>
    </r>
  </si>
  <si>
    <t>Eastern Railway Locomotive Workshop</t>
  </si>
  <si>
    <t>17/05/2025</t>
  </si>
  <si>
    <r>
      <t xml:space="preserve">CRN NO:  </t>
    </r>
    <r>
      <rPr>
        <sz val="11"/>
        <color theme="1"/>
        <rFont val="Aptos Narrow"/>
        <family val="2"/>
        <scheme val="minor"/>
      </rPr>
      <t>073519-25-02310</t>
    </r>
  </si>
  <si>
    <r>
      <t xml:space="preserve">DATE:  </t>
    </r>
    <r>
      <rPr>
        <sz val="11"/>
        <color theme="1"/>
        <rFont val="Aptos Narrow"/>
        <family val="2"/>
        <scheme val="minor"/>
      </rPr>
      <t>17-06-2025</t>
    </r>
    <r>
      <rPr>
        <b/>
        <sz val="11"/>
        <color theme="1"/>
        <rFont val="Aptos Narrow"/>
        <family val="2"/>
        <scheme val="minor"/>
      </rPr>
      <t xml:space="preserve">	</t>
    </r>
  </si>
  <si>
    <t>Set of items. One set consisting of following: - (i) Oil seal to DLW Drg. No. TPE-10-0002 ALT-F or latest. PL No. - 10170789. - 01
No. (ii) Modified oil seal (water pump) DLW Pt. No. 10175880, Drg. No. SKE-1317 Alt. Nil PL No. 10170807. - 01 No. (iii) Impeller
water pump S6. PL No. 10122941. - 01 No. (iv) Impeller water pump WDM2, ER Drg. No. CCC/DL-792 PL No. 10122953. - 01 No.
Accepted Make:- OWN.</t>
  </si>
  <si>
    <t xml:space="preserve">Twenty Two Thousand Three Hundred Two Only </t>
  </si>
  <si>
    <r>
      <t xml:space="preserve">INVOICE NO: </t>
    </r>
    <r>
      <rPr>
        <sz val="11"/>
        <color theme="1"/>
        <rFont val="Aptos Narrow"/>
        <family val="2"/>
        <scheme val="minor"/>
      </rPr>
      <t>4</t>
    </r>
  </si>
  <si>
    <r>
      <t xml:space="preserve">DELIVERY CHAALAN NO: </t>
    </r>
    <r>
      <rPr>
        <sz val="11"/>
        <color theme="1"/>
        <rFont val="Aptos Narrow"/>
        <family val="2"/>
        <scheme val="minor"/>
      </rPr>
      <t>4</t>
    </r>
  </si>
  <si>
    <r>
      <t xml:space="preserve">LOCATION: </t>
    </r>
    <r>
      <rPr>
        <sz val="11"/>
        <color theme="1"/>
        <rFont val="Aptos Narrow"/>
        <family val="2"/>
        <scheme val="minor"/>
      </rPr>
      <t>Jamalpur, Bihar</t>
    </r>
  </si>
  <si>
    <r>
      <t xml:space="preserve">DEPARTMENT: </t>
    </r>
    <r>
      <rPr>
        <sz val="11"/>
        <color theme="1"/>
        <rFont val="Aptos Narrow"/>
        <family val="2"/>
        <scheme val="minor"/>
      </rPr>
      <t>Eastern Railway Locomotive 
                                Workshop</t>
    </r>
  </si>
  <si>
    <r>
      <t xml:space="preserve">STATE CODE: </t>
    </r>
    <r>
      <rPr>
        <sz val="11"/>
        <color theme="1"/>
        <rFont val="Aptos Narrow"/>
        <family val="2"/>
        <scheme val="minor"/>
      </rPr>
      <t>Bihar - 10</t>
    </r>
  </si>
  <si>
    <r>
      <t xml:space="preserve">COMPANY: </t>
    </r>
    <r>
      <rPr>
        <sz val="10.9"/>
        <color theme="1"/>
        <rFont val="Aptos Narrow"/>
        <family val="2"/>
        <scheme val="minor"/>
      </rPr>
      <t>Hind Traders</t>
    </r>
  </si>
  <si>
    <r>
      <t xml:space="preserve">PHONE: </t>
    </r>
    <r>
      <rPr>
        <sz val="11"/>
        <color theme="1"/>
        <rFont val="Aptos Narrow"/>
        <family val="2"/>
        <scheme val="minor"/>
      </rPr>
      <t>+91 7903235877</t>
    </r>
  </si>
  <si>
    <r>
      <t xml:space="preserve">E-MAIL: </t>
    </r>
    <r>
      <rPr>
        <sz val="11"/>
        <color theme="1"/>
        <rFont val="Aptos Narrow"/>
        <family val="2"/>
        <scheme val="minor"/>
      </rPr>
      <t>hindtraders19699@gmail.com</t>
    </r>
  </si>
  <si>
    <r>
      <t xml:space="preserve">GSTIN: </t>
    </r>
    <r>
      <rPr>
        <sz val="11"/>
        <color theme="1"/>
        <rFont val="Aptos Narrow"/>
        <family val="2"/>
        <scheme val="minor"/>
      </rPr>
      <t>10DFIPK1994B1ZS</t>
    </r>
  </si>
  <si>
    <r>
      <t xml:space="preserve">ADDRESS: </t>
    </r>
    <r>
      <rPr>
        <sz val="11"/>
        <color theme="1"/>
        <rFont val="Aptos Narrow"/>
        <family val="2"/>
        <scheme val="minor"/>
      </rPr>
      <t>Chhoti Keshoput Nakki Nagar
                        Jamalpur, Bihar, 811214</t>
    </r>
  </si>
  <si>
    <r>
      <t xml:space="preserve">INVOICE NO: </t>
    </r>
    <r>
      <rPr>
        <sz val="11"/>
        <color theme="1"/>
        <rFont val="Aptos Narrow"/>
        <family val="2"/>
        <scheme val="minor"/>
      </rPr>
      <t>10</t>
    </r>
  </si>
  <si>
    <r>
      <t xml:space="preserve">DELIVERY CHAALAN NO: </t>
    </r>
    <r>
      <rPr>
        <sz val="11"/>
        <color theme="1"/>
        <rFont val="Aptos Narrow"/>
        <family val="2"/>
        <scheme val="minor"/>
      </rPr>
      <t>10</t>
    </r>
  </si>
  <si>
    <r>
      <t xml:space="preserve">CRN NO:  </t>
    </r>
    <r>
      <rPr>
        <sz val="11"/>
        <color theme="1"/>
        <rFont val="Aptos Narrow"/>
        <family val="2"/>
        <scheme val="minor"/>
      </rPr>
      <t>091420-25-02085</t>
    </r>
  </si>
  <si>
    <t>(i) Cork Sheet Gasket 5 mm thick x 2 feet x 3 feet Qty. 05Nos (ii) Cork Sheet Gasket 3 mm thick x 2 feet x 3 feet Qty. 02Nos
Accepted Make: RC-70-C</t>
  </si>
  <si>
    <t>Twelve Thousand Six hundred Twenty Six Only</t>
  </si>
  <si>
    <r>
      <t xml:space="preserve">DATE:  </t>
    </r>
    <r>
      <rPr>
        <sz val="11"/>
        <color theme="1"/>
        <rFont val="Aptos Narrow"/>
        <family val="2"/>
        <scheme val="minor"/>
      </rPr>
      <t>05-08-2025</t>
    </r>
  </si>
  <si>
    <r>
      <t xml:space="preserve">INVOICE NO: </t>
    </r>
    <r>
      <rPr>
        <sz val="11"/>
        <color theme="1"/>
        <rFont val="Aptos Narrow"/>
        <family val="2"/>
        <scheme val="minor"/>
      </rPr>
      <t>14</t>
    </r>
  </si>
  <si>
    <t>13/8/2025</t>
  </si>
  <si>
    <r>
      <t xml:space="preserve">DELIVERY CHAALAN NO: </t>
    </r>
    <r>
      <rPr>
        <sz val="11"/>
        <color theme="1"/>
        <rFont val="Aptos Narrow"/>
        <family val="2"/>
        <scheme val="minor"/>
      </rPr>
      <t>14</t>
    </r>
  </si>
  <si>
    <t>CRN NO:  -----------</t>
  </si>
  <si>
    <t xml:space="preserve">DATE: -------- </t>
  </si>
  <si>
    <t>High pressure flexible pneumatic heat resistant synthetic rubber free hose pipe. Size -ID
0.500 inch X OD 0.922 inch maximum working pressure - 1750 PSI. Accepted Make: Indigenous</t>
  </si>
  <si>
    <r>
      <t xml:space="preserve">Quantity
</t>
    </r>
    <r>
      <rPr>
        <b/>
        <sz val="10"/>
        <color theme="1"/>
        <rFont val="Aptos Narrow"/>
        <family val="2"/>
        <scheme val="minor"/>
      </rPr>
      <t>(MTR)</t>
    </r>
  </si>
  <si>
    <t>One Lakh Twenty Seven Thousand Two Hundred Ninety Eight and Forty Hundreths</t>
  </si>
  <si>
    <t>Rate/Unit (₹)</t>
  </si>
  <si>
    <t>Eco Solvent printed vinyl display board pasted on 3 mm sun board panel with 01 inch
square hollow section iron pipe having suitable hanging arrangement as per attached Annexure-A.
Accepted Make:- OWN.</t>
  </si>
  <si>
    <t>One Lakh Seventy Thousand Nine Hundred Ninety Two Rupees Only</t>
  </si>
  <si>
    <r>
      <t xml:space="preserve">INVOICE NO: </t>
    </r>
    <r>
      <rPr>
        <sz val="11"/>
        <color theme="1"/>
        <rFont val="Aptos Narrow"/>
        <family val="2"/>
        <scheme val="minor"/>
      </rPr>
      <t>15</t>
    </r>
  </si>
  <si>
    <t>16/8/2025</t>
  </si>
  <si>
    <r>
      <t xml:space="preserve">DELIVERY CHAALAN NO: </t>
    </r>
    <r>
      <rPr>
        <sz val="11"/>
        <color theme="1"/>
        <rFont val="Aptos Narrow"/>
        <family val="2"/>
        <scheme val="minor"/>
      </rPr>
      <t>15</t>
    </r>
  </si>
  <si>
    <t>Rate/
Unit (₹)</t>
  </si>
  <si>
    <t>CONSIGNEE: -------</t>
  </si>
  <si>
    <t>MAKITA Corded Small Angle Grinders, Power 220-240V AC, 50/60 Hz Brand: MAKITA</t>
  </si>
  <si>
    <r>
      <t xml:space="preserve">Quantity
</t>
    </r>
    <r>
      <rPr>
        <b/>
        <sz val="10"/>
        <color theme="1"/>
        <rFont val="Aptos Narrow"/>
        <family val="2"/>
        <scheme val="minor"/>
      </rPr>
      <t>(Nos)</t>
    </r>
  </si>
  <si>
    <r>
      <t xml:space="preserve">CRN NO:   </t>
    </r>
    <r>
      <rPr>
        <sz val="11"/>
        <color theme="1"/>
        <rFont val="Aptos Narrow"/>
        <family val="2"/>
        <scheme val="minor"/>
      </rPr>
      <t>091420-25-02332</t>
    </r>
  </si>
  <si>
    <r>
      <t xml:space="preserve">DATE: </t>
    </r>
    <r>
      <rPr>
        <sz val="11"/>
        <color theme="1"/>
        <rFont val="Aptos Narrow"/>
        <family val="2"/>
        <scheme val="minor"/>
      </rPr>
      <t>23/08/2025</t>
    </r>
  </si>
  <si>
    <t>Set consist of:-(i) High tensile bolt with nylock nut m14 X 1.5 X 90mm,Qty.80 Nos. (ii)
High tensile bolt 3/8" X 7/8",Qty.400 Nos. (iii) High tensile bolt 5/16" X 1-1/2",Qty.90 Nos (iv) High tensile
bolt 5/16" X 1",Qty. 360 Nos. As per sample Accepted Make: Unbrako</t>
  </si>
  <si>
    <r>
      <t xml:space="preserve">Quantity
</t>
    </r>
    <r>
      <rPr>
        <b/>
        <sz val="10"/>
        <color theme="1"/>
        <rFont val="Aptos Narrow"/>
        <family val="2"/>
        <scheme val="minor"/>
      </rPr>
      <t>(SET)</t>
    </r>
  </si>
  <si>
    <t>Thirty Two Thousand Five hundred Sixty Eight Only</t>
  </si>
  <si>
    <r>
      <t xml:space="preserve">CRN NO: </t>
    </r>
    <r>
      <rPr>
        <sz val="11"/>
        <color theme="1"/>
        <rFont val="Aptos Narrow"/>
        <family val="2"/>
        <scheme val="minor"/>
      </rPr>
      <t>091420-25-02466</t>
    </r>
  </si>
  <si>
    <r>
      <t xml:space="preserve">DATE: </t>
    </r>
    <r>
      <rPr>
        <sz val="11"/>
        <color theme="1"/>
        <rFont val="Aptos Narrow"/>
        <family val="2"/>
        <scheme val="minor"/>
      </rPr>
      <t>06/09/2025</t>
    </r>
  </si>
  <si>
    <t>16/08/2025</t>
  </si>
  <si>
    <t>29/08/2025</t>
  </si>
  <si>
    <t>Set consist of :-(i)Lug terminal 91/24 Qty.:-160 Nos..(ii)lug terminal 225/24 Qty.400 Nos.
As per sample. Accepted Make: Venus</t>
  </si>
  <si>
    <r>
      <t xml:space="preserve">INVOICE NO: </t>
    </r>
    <r>
      <rPr>
        <sz val="11"/>
        <color theme="1"/>
        <rFont val="Aptos Narrow"/>
        <family val="2"/>
        <scheme val="minor"/>
      </rPr>
      <t>17</t>
    </r>
  </si>
  <si>
    <r>
      <t xml:space="preserve">DELIVERY CHAALAN NO: </t>
    </r>
    <r>
      <rPr>
        <sz val="11"/>
        <color theme="1"/>
        <rFont val="Aptos Narrow"/>
        <family val="2"/>
        <scheme val="minor"/>
      </rPr>
      <t>17</t>
    </r>
  </si>
  <si>
    <t>One Lakh Eighty Four Thousand Six Hundred Seventy Only.</t>
  </si>
  <si>
    <r>
      <t xml:space="preserve">INVOICE NO: </t>
    </r>
    <r>
      <rPr>
        <sz val="11"/>
        <color theme="1"/>
        <rFont val="Aptos Narrow"/>
        <family val="2"/>
        <scheme val="minor"/>
      </rPr>
      <t>18</t>
    </r>
  </si>
  <si>
    <r>
      <t xml:space="preserve">DELIVERY CHAALAN NO: </t>
    </r>
    <r>
      <rPr>
        <sz val="11"/>
        <color theme="1"/>
        <rFont val="Aptos Narrow"/>
        <family val="2"/>
        <scheme val="minor"/>
      </rPr>
      <t>18</t>
    </r>
  </si>
  <si>
    <t>Stay rod bolt with washer size:- 3/4/" * 1-1/2" (As per sample.) Accepted Make: Unbrako</t>
  </si>
  <si>
    <t>Fifty Five Thousand Nine Hundred Ninty One Only</t>
  </si>
  <si>
    <t>Stay rod bolt withSet consist of:-1:-Cattel guard bolt with washer Size- 3/4 x 2 1/2 50 Nos. 2:-Gear Case bolt with washer Size- 1x1/8x6 200 No. 3:-
Allen Key Bolt Size- 3/8x 2 200 Nos. 4:-Centre Pivot bolt with washer (As per Sample) 32 Nos. 5:-Stricker casting base plate bolt
Size- 1 x 1/8 x 4-1/2 16 Nos. 6:-Nyloc Nut (As per Sample) 16 Nos Accepted Make: Own washer size:- 3/4/" * 1-1/2" (As per sample.) Accepted Make: Unbrako</t>
  </si>
  <si>
    <t>One Lakh Fourty Six Thousand Three Hundres Twenty Only</t>
  </si>
  <si>
    <r>
      <t xml:space="preserve">INVOICE NO: </t>
    </r>
    <r>
      <rPr>
        <sz val="11"/>
        <color theme="1"/>
        <rFont val="Aptos Narrow"/>
        <family val="2"/>
        <scheme val="minor"/>
      </rPr>
      <t>12</t>
    </r>
  </si>
  <si>
    <t>26/02/2025</t>
  </si>
  <si>
    <r>
      <t xml:space="preserve">DELIVERY CHAALAN NO: </t>
    </r>
    <r>
      <rPr>
        <sz val="11"/>
        <color theme="1"/>
        <rFont val="Aptos Narrow"/>
        <family val="2"/>
        <scheme val="minor"/>
      </rPr>
      <t>12</t>
    </r>
  </si>
  <si>
    <r>
      <t xml:space="preserve">CRN NO: </t>
    </r>
    <r>
      <rPr>
        <sz val="11"/>
        <color theme="1"/>
        <rFont val="Aptos Narrow"/>
        <family val="2"/>
        <scheme val="minor"/>
      </rPr>
      <t>091297-25-00200</t>
    </r>
  </si>
  <si>
    <r>
      <t xml:space="preserve">DATE: </t>
    </r>
    <r>
      <rPr>
        <sz val="11"/>
        <color theme="1"/>
        <rFont val="Aptos Narrow"/>
        <family val="2"/>
        <scheme val="minor"/>
      </rPr>
      <t>08/09/2025</t>
    </r>
  </si>
  <si>
    <t>Lug terminal Female type as per sample. Accepted Makde: Kothari</t>
  </si>
  <si>
    <r>
      <t xml:space="preserve">INVOICE NO: </t>
    </r>
    <r>
      <rPr>
        <sz val="11"/>
        <color theme="1"/>
        <rFont val="Aptos Narrow"/>
        <family val="2"/>
        <scheme val="minor"/>
      </rPr>
      <t>19</t>
    </r>
  </si>
  <si>
    <t>One Lakh Sixty One Thousand Six Hundred Sixty Only.</t>
  </si>
  <si>
    <r>
      <t xml:space="preserve">DELIVERY CHAALAN NO: </t>
    </r>
    <r>
      <rPr>
        <sz val="11"/>
        <color theme="1"/>
        <rFont val="Aptos Narrow"/>
        <family val="2"/>
        <scheme val="minor"/>
      </rPr>
      <t>19</t>
    </r>
  </si>
  <si>
    <r>
      <t xml:space="preserve">INVOICE NO: </t>
    </r>
    <r>
      <rPr>
        <sz val="11"/>
        <color theme="1"/>
        <rFont val="Aptos Narrow"/>
        <family val="2"/>
        <scheme val="minor"/>
      </rPr>
      <t>16</t>
    </r>
  </si>
  <si>
    <r>
      <t xml:space="preserve">DELIVERY CHAALAN NO: </t>
    </r>
    <r>
      <rPr>
        <sz val="11"/>
        <color theme="1"/>
        <rFont val="Aptos Narrow"/>
        <family val="2"/>
        <scheme val="minor"/>
      </rPr>
      <t>16</t>
    </r>
  </si>
  <si>
    <t>One Lakh Seventy Thousand Nine Hundred Eighty Two Rupees Only</t>
  </si>
  <si>
    <r>
      <t xml:space="preserve">Quantity
</t>
    </r>
    <r>
      <rPr>
        <b/>
        <sz val="10"/>
        <color theme="1"/>
        <rFont val="Aptos Narrow"/>
        <family val="2"/>
        <scheme val="minor"/>
      </rPr>
      <t>(SQFT)</t>
    </r>
  </si>
  <si>
    <r>
      <t>CRN NO:</t>
    </r>
    <r>
      <rPr>
        <sz val="11"/>
        <color theme="1"/>
        <rFont val="Aptos Narrow"/>
        <family val="2"/>
        <scheme val="minor"/>
      </rPr>
      <t>091420-25-02518</t>
    </r>
  </si>
  <si>
    <r>
      <t xml:space="preserve">DATE: </t>
    </r>
    <r>
      <rPr>
        <sz val="11"/>
        <color theme="1"/>
        <rFont val="Aptos Narrow"/>
        <family val="2"/>
        <scheme val="minor"/>
      </rPr>
      <t>18-09-2025</t>
    </r>
  </si>
  <si>
    <r>
      <t xml:space="preserve">CRN NO: </t>
    </r>
    <r>
      <rPr>
        <sz val="11"/>
        <color theme="1"/>
        <rFont val="Aptos Narrow"/>
        <family val="2"/>
        <scheme val="minor"/>
      </rPr>
      <t>091420-25-02516</t>
    </r>
  </si>
  <si>
    <r>
      <t xml:space="preserve">INVOICE NO: </t>
    </r>
    <r>
      <rPr>
        <sz val="11"/>
        <color theme="1"/>
        <rFont val="Aptos Narrow"/>
        <family val="2"/>
        <scheme val="minor"/>
      </rPr>
      <t>20</t>
    </r>
  </si>
  <si>
    <t>19/9/2025</t>
  </si>
  <si>
    <t>Heat Shrinkable sleeve (material polyolefin) tensile strength 15 Kv/mm, shrink
temperature 90- 125c ,600V (i)Dia-3/4" (yellow, Red, Blue) Qty-1 Mtr. Each. (ii)Dia 5/8" (yellow, Red,
Blue) Qty-1 Mtr. Each. As per sample. Accepted Make: Indigenous</t>
  </si>
  <si>
    <r>
      <t xml:space="preserve">DELIVERY CHAALAN NO: </t>
    </r>
    <r>
      <rPr>
        <sz val="11"/>
        <color theme="1"/>
        <rFont val="Aptos Narrow"/>
        <family val="2"/>
        <scheme val="minor"/>
      </rPr>
      <t>20</t>
    </r>
  </si>
  <si>
    <t>One Lakh Six Thousand Seven Hundred Ninty Only.</t>
  </si>
  <si>
    <t>Grinding wheel, size - 150mm x 25 mm x 16 mm hole As per EN - 12413 ANSI B7.1 Accepted Make:- Corborendom</t>
  </si>
  <si>
    <t>Ninety Two Thousand Seven Hundred Fourty Eight Only</t>
  </si>
  <si>
    <r>
      <t xml:space="preserve">INVOICE NO: </t>
    </r>
    <r>
      <rPr>
        <sz val="11"/>
        <color theme="1"/>
        <rFont val="Aptos Narrow"/>
        <family val="2"/>
        <scheme val="minor"/>
      </rPr>
      <t>21</t>
    </r>
  </si>
  <si>
    <t>20/9/2025</t>
  </si>
  <si>
    <r>
      <t xml:space="preserve">DELIVERY CHAALAN NO: </t>
    </r>
    <r>
      <rPr>
        <sz val="11"/>
        <color theme="1"/>
        <rFont val="Aptos Narrow"/>
        <family val="2"/>
        <scheme val="minor"/>
      </rPr>
      <t>21</t>
    </r>
  </si>
  <si>
    <r>
      <t>CRN NO:</t>
    </r>
    <r>
      <rPr>
        <sz val="11"/>
        <color theme="1"/>
        <rFont val="Aptos Narrow"/>
        <family val="2"/>
        <scheme val="minor"/>
      </rPr>
      <t xml:space="preserve"> 091420-25-02760</t>
    </r>
  </si>
  <si>
    <r>
      <t xml:space="preserve">DATE: </t>
    </r>
    <r>
      <rPr>
        <sz val="11"/>
        <color theme="1"/>
        <rFont val="Aptos Narrow"/>
        <family val="2"/>
        <scheme val="minor"/>
      </rPr>
      <t>09/10/2025</t>
    </r>
  </si>
  <si>
    <r>
      <t>CRN NO:</t>
    </r>
    <r>
      <rPr>
        <sz val="11"/>
        <color theme="1"/>
        <rFont val="Aptos Narrow"/>
        <family val="2"/>
        <scheme val="minor"/>
      </rPr>
      <t xml:space="preserve"> 073519-25-05082</t>
    </r>
  </si>
  <si>
    <r>
      <t xml:space="preserve">DATE: </t>
    </r>
    <r>
      <rPr>
        <sz val="11"/>
        <color theme="1"/>
        <rFont val="Aptos Narrow"/>
        <family val="2"/>
        <scheme val="minor"/>
      </rPr>
      <t xml:space="preserve">11/10/2025	</t>
    </r>
  </si>
  <si>
    <t>INVOICE NO: 22</t>
  </si>
  <si>
    <r>
      <t xml:space="preserve">DELIVERY CHAALAN NO: </t>
    </r>
    <r>
      <rPr>
        <sz val="11"/>
        <color theme="1"/>
        <rFont val="Aptos Narrow"/>
        <family val="2"/>
        <scheme val="minor"/>
      </rPr>
      <t>22</t>
    </r>
  </si>
  <si>
    <r>
      <t>CRN NO:</t>
    </r>
    <r>
      <rPr>
        <sz val="11"/>
        <color theme="1"/>
        <rFont val="Aptos Narrow"/>
        <family val="2"/>
        <scheme val="minor"/>
      </rPr>
      <t xml:space="preserve"> ----</t>
    </r>
  </si>
  <si>
    <r>
      <t xml:space="preserve">DATE: </t>
    </r>
    <r>
      <rPr>
        <sz val="11"/>
        <color theme="1"/>
        <rFont val="Aptos Narrow"/>
        <family val="2"/>
        <scheme val="minor"/>
      </rPr>
      <t xml:space="preserve">----	</t>
    </r>
  </si>
  <si>
    <t>Set consist of:- 1:-Allen bolt 1/4" * 1" Qty. 01 No. 2:-Allen bolt 1/4" * 2" Qty. 01 No. As per
sample. Accepted Make: Unbrako</t>
  </si>
  <si>
    <t>Twenty Three Thousand Three Hundred Sixty Four Only</t>
  </si>
  <si>
    <t>INVOICE NO: 23</t>
  </si>
  <si>
    <r>
      <t xml:space="preserve">DELIVERY CHAALAN NO: </t>
    </r>
    <r>
      <rPr>
        <sz val="11"/>
        <color theme="1"/>
        <rFont val="Aptos Narrow"/>
        <family val="2"/>
        <scheme val="minor"/>
      </rPr>
      <t>23</t>
    </r>
  </si>
  <si>
    <t>Bolt &amp; nylon nut 5/8".As per sample. Accepted Make: Unbrako</t>
  </si>
  <si>
    <t>Ninty Thousand Two Hundred Eleven Only</t>
  </si>
  <si>
    <t>15/10/2025</t>
  </si>
  <si>
    <t>CRN NO:091297-25-00253</t>
  </si>
  <si>
    <r>
      <t xml:space="preserve">DATE: </t>
    </r>
    <r>
      <rPr>
        <sz val="11"/>
        <color theme="1"/>
        <rFont val="Aptos Narrow"/>
        <family val="2"/>
        <scheme val="minor"/>
      </rPr>
      <t>17/10/2025</t>
    </r>
  </si>
  <si>
    <t>24/10/2025</t>
  </si>
  <si>
    <t>INVOICE NO: 24</t>
  </si>
  <si>
    <t>29/10/2025</t>
  </si>
  <si>
    <r>
      <t xml:space="preserve">DELIVERY CHAALAN NO: </t>
    </r>
    <r>
      <rPr>
        <sz val="11"/>
        <color theme="1"/>
        <rFont val="Aptos Narrow"/>
        <family val="2"/>
        <scheme val="minor"/>
      </rPr>
      <t>24</t>
    </r>
  </si>
  <si>
    <t>30/10/2025</t>
  </si>
  <si>
    <t>M.s Angle, Size - 30 x 30 x 6 mm confirming to IS:2062 / 2011</t>
  </si>
  <si>
    <r>
      <t xml:space="preserve">Quantity
</t>
    </r>
    <r>
      <rPr>
        <b/>
        <sz val="10"/>
        <color theme="1"/>
        <rFont val="Aptos Narrow"/>
        <family val="2"/>
        <scheme val="minor"/>
      </rPr>
      <t>(Kg)</t>
    </r>
  </si>
  <si>
    <t>One Lakh Eighty Five Thousand Twenty Four Only</t>
  </si>
  <si>
    <t>INVOICE NO: 26</t>
  </si>
  <si>
    <t>Dummy plug 1-1/2" O.D. As per sample. Accepted Make: Indigenous</t>
  </si>
  <si>
    <t>(i). Hose pipe clamp (ring type) for compressor Air intake filter.Qty. 200 Nos.. (ii). Boot
joint clamp for Turbo super charger.Qty. 50 Nos. As per sample. Accepted Make:Indigenous</t>
  </si>
  <si>
    <t>Fifty Thousand Two Hundred Sixty Eight Only</t>
  </si>
  <si>
    <t>Ninty One Thousand Nine Hundred Twenty Two Only</t>
  </si>
  <si>
    <t>INVOICE NO: 27</t>
  </si>
  <si>
    <r>
      <t xml:space="preserve">DELIVERY CHAALAN NO: </t>
    </r>
    <r>
      <rPr>
        <sz val="11"/>
        <color theme="1"/>
        <rFont val="Aptos Narrow"/>
        <family val="2"/>
        <scheme val="minor"/>
      </rPr>
      <t>26</t>
    </r>
  </si>
  <si>
    <r>
      <t xml:space="preserve">DELIVERY CHAALAN NO: </t>
    </r>
    <r>
      <rPr>
        <sz val="11"/>
        <color theme="1"/>
        <rFont val="Aptos Narrow"/>
        <family val="2"/>
        <scheme val="minor"/>
      </rPr>
      <t>27</t>
    </r>
  </si>
  <si>
    <t>13/09/2025</t>
  </si>
  <si>
    <t>INVOICE NO: 25</t>
  </si>
  <si>
    <t>31/10/2025</t>
  </si>
  <si>
    <r>
      <t xml:space="preserve">DELIVERY CHAALAN NO: </t>
    </r>
    <r>
      <rPr>
        <sz val="11"/>
        <color theme="1"/>
        <rFont val="Aptos Narrow"/>
        <family val="2"/>
        <scheme val="minor"/>
      </rPr>
      <t>25</t>
    </r>
  </si>
  <si>
    <t>PIN for Horizontal lever for BOXNHL RDSO Drg.no WD-08008-S-19, Item-5. Accepted Make:Own</t>
  </si>
  <si>
    <t>Four Lakh Eighty One Thousand Four Hundred Fourty Only.</t>
  </si>
  <si>
    <t>INVOICE NO: 29</t>
  </si>
  <si>
    <t>14/11/2025</t>
  </si>
  <si>
    <t>22/08/2025</t>
  </si>
  <si>
    <t>Fourty Eight Thousand Only</t>
  </si>
  <si>
    <t>MAKITA Ceramic Hot Air Gun Brand: MAKITA (Detailed Description/Specification as per Product # 1 of GeM Contract No. GEMC-511687766484423 dt.21/08/2025)</t>
  </si>
  <si>
    <t>8419
8990</t>
  </si>
  <si>
    <r>
      <t xml:space="preserve">DELIVERY CHAALAN NO: </t>
    </r>
    <r>
      <rPr>
        <sz val="11"/>
        <color theme="1"/>
        <rFont val="Aptos Narrow"/>
        <family val="2"/>
        <scheme val="minor"/>
      </rPr>
      <t>29</t>
    </r>
  </si>
  <si>
    <r>
      <t>CRN NO:</t>
    </r>
    <r>
      <rPr>
        <sz val="11"/>
        <color theme="1"/>
        <rFont val="Aptos Narrow"/>
        <family val="2"/>
        <scheme val="minor"/>
      </rPr>
      <t xml:space="preserve"> 091420-25-03046</t>
    </r>
  </si>
  <si>
    <r>
      <t xml:space="preserve">DATE: </t>
    </r>
    <r>
      <rPr>
        <sz val="11"/>
        <color theme="1"/>
        <rFont val="Aptos Narrow"/>
        <family val="2"/>
        <scheme val="minor"/>
      </rPr>
      <t>15/11/2025</t>
    </r>
  </si>
  <si>
    <r>
      <t>CRN NO:</t>
    </r>
    <r>
      <rPr>
        <sz val="11"/>
        <color theme="1"/>
        <rFont val="Aptos Narrow"/>
        <family val="2"/>
        <scheme val="minor"/>
      </rPr>
      <t xml:space="preserve"> 091420-25-03246</t>
    </r>
  </si>
  <si>
    <r>
      <t xml:space="preserve">DATE: </t>
    </r>
    <r>
      <rPr>
        <sz val="11"/>
        <color theme="1"/>
        <rFont val="Aptos Narrow"/>
        <family val="2"/>
        <scheme val="minor"/>
      </rPr>
      <t>19/11/25</t>
    </r>
  </si>
  <si>
    <t>INVOICE NO:30</t>
  </si>
  <si>
    <t>DELIVERY CHAALAN NO: 30</t>
  </si>
  <si>
    <t>15/11/2025</t>
  </si>
  <si>
    <t>22/11/2025</t>
  </si>
  <si>
    <t>Led Screw Guide nut OD- 86mm, ID-36mm, Length- 180 mm. Material :- Gun Metal,
Material to be supplied as per sample. Accepted Make: Own</t>
  </si>
  <si>
    <t>Rack pinion, OD-50mm, ID- 24mm, Length-58mm, Material- Gun Metal, Material to be
supplied as per sample. Accepted Make: Own</t>
  </si>
  <si>
    <t>Thirty Six Thousand Four Hundred Sixty Two</t>
  </si>
  <si>
    <r>
      <t>CRN NO:</t>
    </r>
    <r>
      <rPr>
        <sz val="11"/>
        <color theme="1"/>
        <rFont val="Aptos Narrow"/>
        <family val="2"/>
        <scheme val="minor"/>
      </rPr>
      <t xml:space="preserve">  091420-25-03257</t>
    </r>
  </si>
  <si>
    <r>
      <t xml:space="preserve">DATE: </t>
    </r>
    <r>
      <rPr>
        <sz val="11"/>
        <color theme="1"/>
        <rFont val="Aptos Narrow"/>
        <family val="2"/>
        <scheme val="minor"/>
      </rPr>
      <t xml:space="preserve">26/11/2025	</t>
    </r>
  </si>
  <si>
    <t>INVOICE NO:32</t>
  </si>
  <si>
    <t>DELIVERY CHAALAN NO: 32</t>
  </si>
  <si>
    <t>One Lakh Six Thousand Two hundred only.</t>
  </si>
  <si>
    <r>
      <t>CRN NO:</t>
    </r>
    <r>
      <rPr>
        <sz val="11"/>
        <color theme="1"/>
        <rFont val="Aptos Narrow"/>
        <family val="2"/>
        <scheme val="minor"/>
      </rPr>
      <t xml:space="preserve"> 073519-25-06437</t>
    </r>
  </si>
  <si>
    <r>
      <t xml:space="preserve">DATE: </t>
    </r>
    <r>
      <rPr>
        <sz val="11"/>
        <color theme="1"/>
        <rFont val="Aptos Narrow"/>
        <family val="2"/>
        <scheme val="minor"/>
      </rPr>
      <t>07/01/2026</t>
    </r>
  </si>
  <si>
    <r>
      <t>CRN NO:</t>
    </r>
    <r>
      <rPr>
        <sz val="11"/>
        <color theme="1"/>
        <rFont val="Aptos Narrow"/>
        <family val="2"/>
        <scheme val="minor"/>
      </rPr>
      <t xml:space="preserve"> 091042-25-00558</t>
    </r>
    <r>
      <rPr>
        <b/>
        <sz val="11"/>
        <color theme="1"/>
        <rFont val="Aptos Narrow"/>
        <family val="2"/>
        <scheme val="minor"/>
      </rPr>
      <t xml:space="preserve">
                    </t>
    </r>
    <r>
      <rPr>
        <sz val="11"/>
        <color theme="1"/>
        <rFont val="Aptos Narrow"/>
        <family val="2"/>
        <scheme val="minor"/>
      </rPr>
      <t>091042-25-00559</t>
    </r>
  </si>
  <si>
    <r>
      <t xml:space="preserve">DATE: </t>
    </r>
    <r>
      <rPr>
        <sz val="11"/>
        <color theme="1"/>
        <rFont val="Aptos Narrow"/>
        <family val="2"/>
        <scheme val="minor"/>
      </rPr>
      <t xml:space="preserve">21-01-2026	</t>
    </r>
  </si>
  <si>
    <r>
      <t xml:space="preserve">DATE: </t>
    </r>
    <r>
      <rPr>
        <sz val="11"/>
        <color theme="1"/>
        <rFont val="Aptos Narrow"/>
        <family val="2"/>
        <scheme val="minor"/>
      </rPr>
      <t xml:space="preserve">20-01-2026	</t>
    </r>
  </si>
  <si>
    <r>
      <t>CRN NO:</t>
    </r>
    <r>
      <rPr>
        <sz val="11"/>
        <color theme="1"/>
        <rFont val="Aptos Narrow"/>
        <family val="2"/>
        <scheme val="minor"/>
      </rPr>
      <t xml:space="preserve">  091042-25-00649</t>
    </r>
  </si>
  <si>
    <r>
      <t xml:space="preserve">DATE: </t>
    </r>
    <r>
      <rPr>
        <sz val="11"/>
        <color theme="1"/>
        <rFont val="Aptos Narrow"/>
        <family val="2"/>
        <scheme val="minor"/>
      </rPr>
      <t>29-01-2026</t>
    </r>
  </si>
  <si>
    <t>INVOICE NO: 33</t>
  </si>
  <si>
    <t>DELIVERY CHAALAN NO: 33</t>
  </si>
  <si>
    <t>INVOICE NO:34</t>
  </si>
  <si>
    <t>17/03/2026</t>
  </si>
  <si>
    <t>Split pin Size:- 3 x 101.6 mm Accepted Make: Indigenous</t>
  </si>
  <si>
    <t>Twenty Three Thousand Three Hundred Five Only</t>
  </si>
  <si>
    <t>INVOICE NO:35</t>
  </si>
  <si>
    <t>25/03/2026</t>
  </si>
  <si>
    <t>26/03/2026</t>
  </si>
  <si>
    <t>DELIVERY CHAALAN NO: 35</t>
  </si>
  <si>
    <t>Texel Multilayered Cross Laminated Sheets/Tarpaulins/Covers/ Agricultural Film Brand:
Texel (Detailed Description/Specification as per Product # 1 of GeM Contract No. GEMC511687739752391 dt.18/03/2026)</t>
  </si>
  <si>
    <t xml:space="preserve">WD-40 Rust Remover Solution, Size 500 mL in Aersol Brand: WD-40 (Detailed
Description/Specification as per Product # 1 of GeM Contract No. GEMC-511687730370808
dt.26/02/2026)TS/07/01 Dated-26/10/2024
Accepted Make: Own	
					</t>
  </si>
  <si>
    <t>Supply of aluminum Tag for lifting tackle as per Sketch no.- MTS/07/01 Dated-26/10/2024
Accepted Make: Own</t>
  </si>
  <si>
    <t>INVOICE NO:36</t>
  </si>
  <si>
    <t>28/02/2026</t>
  </si>
  <si>
    <t>DELIVERY CHAALAN NO: 36</t>
  </si>
  <si>
    <t>Spare parts for pneumatic pipe line fitting works. (1). Hex nipple SAE Type, TPI-14, Qty- 50
Nos. (02) . Hose end fitting straight (ST) type, TPI-14, Qty- 50 Nos. (03). Elbow hose end fitting type, TPI08, Qty-50 Nos. (One set consisting of SL. No 1 to 3, total quantity in one set is 150 nos. ). Accepted
Make: Indigenous</t>
  </si>
  <si>
    <t>One Lakh Fourty Eight Thousand Nineteen and Twenty Paise Only</t>
  </si>
  <si>
    <t>INVOICE NO:37</t>
  </si>
  <si>
    <t>DELIVERY CHAALAN NO: 37</t>
  </si>
  <si>
    <t>CUMI pallet truck 3000 Kg CUMI.GEMC:-5116877-67682735195. Accepted Make:
Indigenous</t>
  </si>
  <si>
    <t>Sixty Nine Thousand Six hundred Twenty Only.</t>
  </si>
  <si>
    <t>14/03/2026</t>
  </si>
  <si>
    <r>
      <t xml:space="preserve">CRN.No- </t>
    </r>
    <r>
      <rPr>
        <sz val="11"/>
        <color theme="1"/>
        <rFont val="Aptos Narrow"/>
        <family val="2"/>
        <scheme val="minor"/>
      </rPr>
      <t>091420-26-00292</t>
    </r>
  </si>
  <si>
    <r>
      <t xml:space="preserve">DATE: </t>
    </r>
    <r>
      <rPr>
        <sz val="11"/>
        <color theme="1"/>
        <rFont val="Aptos Narrow"/>
        <family val="2"/>
        <scheme val="minor"/>
      </rPr>
      <t>22/04/2026</t>
    </r>
  </si>
  <si>
    <r>
      <t xml:space="preserve">DATE: </t>
    </r>
    <r>
      <rPr>
        <sz val="11"/>
        <color theme="1"/>
        <rFont val="Aptos Narrow"/>
        <family val="2"/>
        <scheme val="minor"/>
      </rPr>
      <t>14/04/2026</t>
    </r>
  </si>
  <si>
    <r>
      <t>CRN NO:</t>
    </r>
    <r>
      <rPr>
        <sz val="11"/>
        <color theme="1"/>
        <rFont val="Aptos Narrow"/>
        <family val="2"/>
        <scheme val="minor"/>
      </rPr>
      <t xml:space="preserve"> 091297-25-00774</t>
    </r>
  </si>
  <si>
    <t>DELIVERY CHAALAN NO: 34</t>
  </si>
  <si>
    <t>INVOICE NO:38</t>
  </si>
  <si>
    <t>DELIVERY CHAALAN NO: 38</t>
  </si>
  <si>
    <t>CRN.No-</t>
  </si>
  <si>
    <t xml:space="preserve">DATE: </t>
  </si>
  <si>
    <t>One Lakh Ten Thousand Four Hundred Fourty Eight Only.</t>
  </si>
  <si>
    <t xml:space="preserve"> Printing of Daily outturn statement as per format IS 34 ( Sample of format is attached inannexure), Size of Page- A4, quality of paper- 70 GSM. Note :- One book consist of 100 pages with brown cover. Accepted Make: Own</t>
  </si>
  <si>
    <t>INVOICE NO:39</t>
  </si>
  <si>
    <t>03-26-2026</t>
  </si>
  <si>
    <t>DELIVERY CHAALAN NO: 39</t>
  </si>
  <si>
    <t>Printed Check-sheet (Size-A4 ) as per attached ISO Document no.(I) JMPW/IR/WRS/03/00,
Qty- 17000 nos. (II)JMPW/IR/WRS/04/00 , Qty-3300 nos. (III)JMPW/IR/WRS/05/00, Qty- 200 nos.
(IV)JMPW/IR/WRS/06/00, Qty-2000 nos. (V)JMPW/IR/WRS/07/00, Qty-400 nos. (VI)JMPW/IR/WRS/08/00, Qty400 nos. ISO Document FORMAT is attached as ANNEXURE. Material:- 70 GSM paper Century or similar.
Note: One book should consist of 100 sheets. Book cover should be 120 GSM brown sheet. Firm's offer is
accepted.(Own)</t>
  </si>
  <si>
    <t>Sixty One Thousand Five Hundred Eighty Six and Six Paise Only</t>
  </si>
  <si>
    <t>Thirty Four Thousand Six Hundred Thirty Three Only</t>
  </si>
  <si>
    <t>Cover page of Files, Registers, Attendance registers and Peon books, details specifications
as per annexure-A. Firm's offer is accepted.(Own)</t>
  </si>
  <si>
    <t>DELIVERY CHAALAN NO: 40</t>
  </si>
  <si>
    <t>INVOICE NO:40</t>
  </si>
  <si>
    <t>INVOICE NO:41</t>
  </si>
  <si>
    <t>DELIVERY CHAALAN NO: 41</t>
  </si>
  <si>
    <t>Terminal lug 125/24. (i) 3/8 inch hole size (Single Hole). Qty - 400 Nos. (ii) 5/16 inch hole  size (single Hole). Qty - 400 Nos. Firm's offer is accepted.(Indigenous)</t>
  </si>
  <si>
    <t>One Lakh Sixty Eight Thousand Thirty Two Rupees Only.</t>
  </si>
  <si>
    <t>CRN.No- 097123-26-00002</t>
  </si>
  <si>
    <t>DATE:  09-06-2026</t>
  </si>
  <si>
    <t>CRN.No-  091042-26-00182</t>
  </si>
  <si>
    <t>DATE: 10-06-2026</t>
  </si>
  <si>
    <t>CRN.No- 091420-26-01479</t>
  </si>
  <si>
    <t>DATE: 11-06-2026</t>
  </si>
  <si>
    <t>INVOICE NO:42</t>
  </si>
  <si>
    <t>DELIVERY CHAALAN NO: 42</t>
  </si>
  <si>
    <t>Fourty Two  Thousand Four Hundred Eighty Only</t>
  </si>
  <si>
    <t xml:space="preserve"> Cutting spindle for maintenance of cutting torch (cutting blow pipe), Images of the cutting spindle are attached in the annexure for reference. Material to be supplied as per sample (collected from consignee). Material- Brass. Note :-Sample to be got approved by consignee before bulk supply. Accepted Make: Indigenous</t>
  </si>
  <si>
    <t>CRN.No- 091042-26-00268</t>
  </si>
  <si>
    <t>DATE: 08/07/2026</t>
  </si>
  <si>
    <t>Spring washer Size 16 mm, Thickness 4.8 mm Accepted Make: Indigenous</t>
  </si>
  <si>
    <t>Spring washer Size 12mm, Thickness 3.6 mm Accepted Make: Indigenous</t>
  </si>
  <si>
    <t>Spring washer Size 8mm, Thickness 2.5mm Accepted Make: Indigenous</t>
  </si>
  <si>
    <t>Spring washer Size 10 mm, Thickness 0.3 mm Accepted Make: Indigenous</t>
  </si>
  <si>
    <t>Spring washer Size 24mm, Thickness 7.2 mm Accepted Make: Indigenous</t>
  </si>
  <si>
    <t>One Lakh Seventy Four Thousand Six Hundred Fourty Only</t>
  </si>
  <si>
    <t xml:space="preserve">CRN.No- </t>
  </si>
  <si>
    <t>INVOICE NO:43</t>
  </si>
  <si>
    <t>DELIVERY CHAALAN NO: 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</si>
</sst>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INR]\ * #,##0.00_);_([$INR]\ * \(#,##0.00\);_([$INR]\ * &quot;-&quot;??_);_(@_)"/>
    <numFmt numFmtId="165" formatCode="[$₹-439]#,##0.00"/>
    <numFmt numFmtId="166" formatCode="dd\-mm\-yyyy"/>
    <numFmt numFmtId="167" formatCode="[$₹-4009]\ #,##0.00;[$₹-4009]\ \-#,##0.00"/>
    <numFmt numFmtId="168" formatCode="[$₹-4009]\ #,##0.00"/>
    <numFmt numFmtId="169" formatCode="mm\-dd\-yyyy"/>
    <numFmt numFmtId="170" formatCode="mm/dd/yyyy"/>
    <numFmt numFmtId="171" formatCode="[$₹-4009]\ #,##0;[$₹-4009]\ \-#,##0"/>
    <numFmt numFmtId="172" formatCode="[$₹-4009]\ #,##0.00;[Red][$₹-4009]\ #,##0.00"/>
    <numFmt numFmtId="173" formatCode="[$₹-4009]\ #,##0.0;[$₹-4009]\ \-#,##0.0"/>
    <numFmt numFmtId="174" formatCode="[$₹-4009]\ #,##0.000"/>
    <numFmt numFmtId="175" formatCode="[$-14009]dd/mm/yyyy;@"/>
    <numFmt numFmtId="180" formatCode="&quot;₹&quot;\ #,##0.00"/>
  </numFmts>
  <fonts count="18" x14ac:knownFonts="1">
    <font>
      <sz val="11"/>
      <color theme="1"/>
      <name val="Aptos Narrow"/>
      <family val="2"/>
      <scheme val="minor"/>
    </font>
    <font>
      <b/>
      <sz val="11"/>
      <color theme="1"/>
      <name val="Aptos Narrow"/>
      <family val="2"/>
      <scheme val="minor"/>
    </font>
    <font>
      <b/>
      <sz val="26"/>
      <color theme="1"/>
      <name val="Bahnschrift SemiBold"/>
      <family val="2"/>
    </font>
    <font>
      <u/>
      <sz val="11"/>
      <color theme="10"/>
      <name val="Aptos Narrow"/>
      <family val="2"/>
      <scheme val="minor"/>
    </font>
    <font>
      <sz val="10"/>
      <color theme="1"/>
      <name val="Aptos Narrow"/>
      <family val="2"/>
      <scheme val="minor"/>
    </font>
    <font>
      <sz val="9"/>
      <color theme="1"/>
      <name val="Aptos Narrow"/>
      <family val="2"/>
      <scheme val="minor"/>
    </font>
    <font>
      <sz val="16"/>
      <color theme="1"/>
      <name val="Aptos Narrow"/>
      <family val="2"/>
      <scheme val="minor"/>
    </font>
    <font>
      <i/>
      <sz val="11"/>
      <color theme="1"/>
      <name val="Aptos Narrow"/>
      <family val="2"/>
      <scheme val="minor"/>
    </font>
    <font>
      <b/>
      <i/>
      <sz val="9"/>
      <color theme="1"/>
      <name val="Aptos Narrow"/>
      <family val="2"/>
      <scheme val="minor"/>
    </font>
    <font>
      <sz val="11"/>
      <color theme="1"/>
      <name val="Bahnschrift"/>
      <family val="2"/>
    </font>
    <font>
      <b/>
      <sz val="10"/>
      <color theme="1"/>
      <name val="Aptos Narrow"/>
      <family val="2"/>
      <scheme val="minor"/>
    </font>
    <font>
      <u/>
      <sz val="11"/>
      <color theme="1"/>
      <name val="Aptos Narrow"/>
      <family val="2"/>
      <scheme val="minor"/>
    </font>
    <font>
      <b/>
      <sz val="10.9"/>
      <color theme="1"/>
      <name val="Aptos Narrow"/>
      <family val="2"/>
      <scheme val="minor"/>
    </font>
    <font>
      <sz val="10.9"/>
      <color theme="1"/>
      <name val="Aptos Narrow"/>
      <family val="2"/>
      <scheme val="minor"/>
    </font>
    <font>
      <sz val="8"/>
      <color theme="1"/>
      <name val="Aptos Narrow"/>
      <family val="2"/>
      <scheme val="minor"/>
    </font>
    <font>
      <b/>
      <sz val="12"/>
      <color theme="1"/>
      <name val="Aptos Narrow"/>
      <family val="2"/>
      <scheme val="minor"/>
    </font>
    <font>
      <b/>
      <u/>
      <sz val="11"/>
      <color theme="1"/>
      <name val="Aptos Narrow"/>
      <family val="2"/>
      <scheme val="minor"/>
    </font>
    <font>
      <sz val="12"/>
      <color theme="1"/>
      <name val="Aptos Narrow"/>
      <family val="2"/>
      <scheme val="minor"/>
    </font>
  </fonts>
  <fills count="3">
    <fill>
      <patternFill patternType="none"/>
    </fill>
    <fill>
      <patternFill patternType="gray125"/>
    </fill>
    <fill>
      <patternFill patternType="solid">
        <fgColor theme="2" tint="-0.249977111117893"/>
        <bgColor indexed="64"/>
      </patternFill>
    </fill>
  </fills>
  <borders count="2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diagonal/>
    </border>
  </borders>
  <cellStyleXfs count="2">
    <xf numFmtId="0" fontId="0" fillId="0" borderId="0"/>
    <xf numFmtId="0" fontId="3" fillId="0" borderId="0" applyNumberFormat="0" applyFill="0" applyBorder="0" applyAlignment="0" applyProtection="0"/>
  </cellStyleXfs>
  <cellXfs count="548">
    <xf numFmtId="0" fontId="0" fillId="0" borderId="0" xfId="0"/>
    <xf numFmtId="0" fontId="0" fillId="0" borderId="0" xfId="0" applyAlignment="1">
      <alignment horizontal="left" vertical="center"/>
    </xf>
    <xf numFmtId="0" fontId="0" fillId="0" borderId="1" xfId="0" applyBorder="1"/>
    <xf numFmtId="0" fontId="0" fillId="0" borderId="3" xfId="0" applyBorder="1"/>
    <xf numFmtId="0" fontId="0" fillId="0" borderId="10" xfId="0" applyBorder="1"/>
    <xf numFmtId="0" fontId="0" fillId="0" borderId="9" xfId="0" applyBorder="1"/>
    <xf numFmtId="0" fontId="1" fillId="2" borderId="4" xfId="0" applyFont="1" applyFill="1" applyBorder="1" applyAlignment="1">
      <alignment horizontal="left" vertical="center" indent="1"/>
    </xf>
    <xf numFmtId="0" fontId="1" fillId="2" borderId="5" xfId="0" applyFont="1" applyFill="1" applyBorder="1" applyAlignment="1">
      <alignment horizontal="left" vertical="center" indent="1"/>
    </xf>
    <xf numFmtId="0" fontId="1" fillId="2" borderId="6" xfId="0" applyFont="1" applyFill="1" applyBorder="1" applyAlignment="1">
      <alignment horizontal="left" vertical="center" indent="1"/>
    </xf>
    <xf numFmtId="0" fontId="0" fillId="0" borderId="5" xfId="0" applyBorder="1"/>
    <xf numFmtId="0" fontId="0" fillId="0" borderId="6" xfId="0" applyBorder="1"/>
    <xf numFmtId="0" fontId="0" fillId="0" borderId="7" xfId="0" applyBorder="1"/>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0" borderId="0" xfId="0" applyFont="1" applyAlignment="1">
      <alignment horizontal="left" vertical="center"/>
    </xf>
    <xf numFmtId="0" fontId="5" fillId="0" borderId="8" xfId="0" applyFont="1" applyBorder="1" applyAlignment="1">
      <alignment horizontal="left" vertical="center"/>
    </xf>
    <xf numFmtId="0" fontId="0" fillId="0" borderId="8" xfId="0" applyBorder="1" applyAlignment="1">
      <alignment horizontal="left" vertical="center"/>
    </xf>
    <xf numFmtId="0" fontId="4" fillId="0" borderId="0" xfId="0" applyFont="1" applyAlignment="1">
      <alignment horizontal="left" vertical="center"/>
    </xf>
    <xf numFmtId="0" fontId="0" fillId="0" borderId="5" xfId="0" applyBorder="1" applyAlignment="1">
      <alignment horizontal="left" vertical="center"/>
    </xf>
    <xf numFmtId="0" fontId="0" fillId="0" borderId="1" xfId="0" applyBorder="1" applyAlignment="1">
      <alignment horizontal="left" vertical="center"/>
    </xf>
    <xf numFmtId="0" fontId="1" fillId="2" borderId="11" xfId="0" applyFont="1" applyFill="1" applyBorder="1" applyAlignment="1">
      <alignment horizontal="left" indent="1"/>
    </xf>
    <xf numFmtId="0" fontId="1" fillId="2" borderId="2" xfId="0" applyFont="1" applyFill="1" applyBorder="1" applyAlignment="1">
      <alignment horizontal="left" indent="1"/>
    </xf>
    <xf numFmtId="0" fontId="1" fillId="2" borderId="12" xfId="0" applyFont="1" applyFill="1" applyBorder="1" applyAlignment="1">
      <alignment horizontal="left" indent="1"/>
    </xf>
    <xf numFmtId="0" fontId="4" fillId="0" borderId="8" xfId="0" applyFont="1" applyBorder="1" applyAlignment="1">
      <alignment horizontal="left" vertical="center"/>
    </xf>
    <xf numFmtId="0" fontId="1" fillId="2" borderId="2" xfId="0" applyFont="1" applyFill="1" applyBorder="1"/>
    <xf numFmtId="0" fontId="1" fillId="2" borderId="12" xfId="0" applyFont="1" applyFill="1" applyBorder="1"/>
    <xf numFmtId="49" fontId="0" fillId="0" borderId="0" xfId="0" applyNumberFormat="1" applyAlignment="1">
      <alignment horizontal="left" vertical="center"/>
    </xf>
    <xf numFmtId="0" fontId="0" fillId="0" borderId="5" xfId="0" applyBorder="1" applyAlignment="1">
      <alignment vertical="center"/>
    </xf>
    <xf numFmtId="0" fontId="0" fillId="0" borderId="6" xfId="0" applyBorder="1" applyAlignment="1">
      <alignment vertical="center"/>
    </xf>
    <xf numFmtId="49" fontId="0" fillId="0" borderId="0" xfId="0" applyNumberFormat="1" applyAlignment="1">
      <alignment vertical="center"/>
    </xf>
    <xf numFmtId="49" fontId="0" fillId="0" borderId="8" xfId="0" applyNumberFormat="1" applyBorder="1" applyAlignment="1">
      <alignment vertical="center"/>
    </xf>
    <xf numFmtId="0" fontId="3" fillId="0" borderId="0" xfId="1" applyBorder="1" applyAlignment="1">
      <alignment vertical="center"/>
    </xf>
    <xf numFmtId="0" fontId="3" fillId="0" borderId="8" xfId="1" applyBorder="1" applyAlignment="1">
      <alignment vertical="center"/>
    </xf>
    <xf numFmtId="0" fontId="0" fillId="0" borderId="13" xfId="0" applyBorder="1"/>
    <xf numFmtId="0" fontId="0" fillId="0" borderId="14" xfId="0" applyBorder="1"/>
    <xf numFmtId="0" fontId="0" fillId="0" borderId="15" xfId="0" applyBorder="1"/>
    <xf numFmtId="49" fontId="0" fillId="0" borderId="0" xfId="0" applyNumberFormat="1"/>
    <xf numFmtId="0" fontId="0" fillId="0" borderId="10" xfId="0" applyBorder="1" applyAlignment="1">
      <alignment horizontal="left" vertical="center"/>
    </xf>
    <xf numFmtId="9" fontId="0" fillId="0" borderId="16" xfId="0" applyNumberFormat="1" applyBorder="1" applyAlignment="1">
      <alignment horizontal="left" vertical="center"/>
    </xf>
    <xf numFmtId="0" fontId="0" fillId="0" borderId="18" xfId="0" applyBorder="1"/>
    <xf numFmtId="0" fontId="0" fillId="0" borderId="17" xfId="0" applyBorder="1"/>
    <xf numFmtId="0" fontId="0" fillId="0" borderId="20" xfId="0" applyBorder="1"/>
    <xf numFmtId="0" fontId="0" fillId="0" borderId="19" xfId="0" applyBorder="1"/>
    <xf numFmtId="0" fontId="1" fillId="0" borderId="4" xfId="0" applyFont="1" applyBorder="1"/>
    <xf numFmtId="0" fontId="1" fillId="0" borderId="7" xfId="0" applyFont="1" applyBorder="1" applyAlignment="1">
      <alignment vertical="top"/>
    </xf>
    <xf numFmtId="0" fontId="1" fillId="0" borderId="7" xfId="0" applyFont="1" applyBorder="1"/>
    <xf numFmtId="0" fontId="1" fillId="0" borderId="9" xfId="0" applyFont="1" applyBorder="1"/>
    <xf numFmtId="0" fontId="1" fillId="0" borderId="7" xfId="0" applyFont="1" applyBorder="1" applyAlignment="1">
      <alignment horizontal="left" vertical="center"/>
    </xf>
    <xf numFmtId="0" fontId="1" fillId="0" borderId="4" xfId="0" applyFont="1" applyBorder="1" applyAlignment="1">
      <alignment horizontal="left" vertical="center"/>
    </xf>
    <xf numFmtId="0" fontId="1" fillId="0" borderId="9" xfId="0" applyFont="1" applyBorder="1" applyAlignment="1">
      <alignment horizontal="left" vertical="center"/>
    </xf>
    <xf numFmtId="0" fontId="1" fillId="0" borderId="7" xfId="0" applyFont="1" applyBorder="1" applyAlignment="1">
      <alignment vertical="center"/>
    </xf>
    <xf numFmtId="164" fontId="0" fillId="0" borderId="0" xfId="0" applyNumberFormat="1"/>
    <xf numFmtId="0" fontId="1" fillId="0" borderId="4" xfId="0" applyFont="1" applyBorder="1" applyAlignment="1">
      <alignment horizontal="left" vertical="center"/>
    </xf>
    <xf numFmtId="0" fontId="0" fillId="0" borderId="10" xfId="0" applyBorder="1" applyAlignment="1">
      <alignment horizontal="left" vertical="center"/>
    </xf>
    <xf numFmtId="49" fontId="1" fillId="0" borderId="0" xfId="0" applyNumberFormat="1" applyFont="1"/>
    <xf numFmtId="0" fontId="0" fillId="0" borderId="5" xfId="0" applyNumberFormat="1" applyBorder="1" applyAlignment="1">
      <alignment horizontal="left" vertical="center"/>
    </xf>
    <xf numFmtId="14" fontId="0" fillId="0" borderId="1" xfId="0" applyNumberFormat="1" applyBorder="1" applyAlignment="1">
      <alignment horizontal="left" vertical="center"/>
    </xf>
    <xf numFmtId="0" fontId="4" fillId="0" borderId="0" xfId="0" applyFont="1" applyAlignment="1">
      <alignment vertical="center" wrapText="1"/>
    </xf>
    <xf numFmtId="0" fontId="4" fillId="0" borderId="8" xfId="0" applyFont="1" applyBorder="1" applyAlignment="1">
      <alignment vertical="center" wrapText="1"/>
    </xf>
    <xf numFmtId="0" fontId="0" fillId="0" borderId="13" xfId="0" applyBorder="1" applyAlignment="1">
      <alignment horizontal="center" vertical="center"/>
    </xf>
    <xf numFmtId="0" fontId="0" fillId="0" borderId="2" xfId="0" applyBorder="1"/>
    <xf numFmtId="0" fontId="0" fillId="0" borderId="0" xfId="0" applyBorder="1" applyAlignment="1">
      <alignment horizontal="left" vertical="center"/>
    </xf>
    <xf numFmtId="165" fontId="0" fillId="0" borderId="13" xfId="0" applyNumberFormat="1" applyBorder="1"/>
    <xf numFmtId="9" fontId="0" fillId="0" borderId="21" xfId="0" applyNumberFormat="1" applyBorder="1" applyAlignment="1">
      <alignment horizontal="left" vertical="center"/>
    </xf>
    <xf numFmtId="165" fontId="0" fillId="0" borderId="15" xfId="0" applyNumberFormat="1" applyBorder="1"/>
    <xf numFmtId="165" fontId="0" fillId="0" borderId="13" xfId="0" applyNumberForma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165" fontId="0" fillId="0" borderId="3" xfId="0" applyNumberFormat="1" applyBorder="1"/>
    <xf numFmtId="49" fontId="0" fillId="0" borderId="5" xfId="0" applyNumberFormat="1" applyBorder="1" applyAlignment="1">
      <alignment horizontal="left" vertical="center"/>
    </xf>
    <xf numFmtId="49" fontId="0" fillId="0" borderId="0" xfId="0" applyNumberFormat="1" applyBorder="1" applyAlignment="1">
      <alignment horizontal="left" vertical="center"/>
    </xf>
    <xf numFmtId="0" fontId="4" fillId="0" borderId="4" xfId="0" applyFont="1" applyBorder="1" applyAlignment="1">
      <alignment horizontal="left" vertical="center"/>
    </xf>
    <xf numFmtId="0" fontId="1" fillId="2" borderId="1" xfId="0" applyFont="1" applyFill="1" applyBorder="1" applyAlignment="1">
      <alignment horizontal="left" indent="1"/>
    </xf>
    <xf numFmtId="49" fontId="0" fillId="0" borderId="1" xfId="0" applyNumberFormat="1" applyBorder="1" applyAlignment="1">
      <alignment horizontal="left" vertical="center"/>
    </xf>
    <xf numFmtId="0" fontId="1" fillId="0" borderId="4" xfId="0" applyFont="1" applyBorder="1" applyAlignment="1">
      <alignment horizontal="left"/>
    </xf>
    <xf numFmtId="0" fontId="1" fillId="0" borderId="7" xfId="0" applyFont="1" applyBorder="1" applyAlignment="1">
      <alignment horizontal="left" vertical="top"/>
    </xf>
    <xf numFmtId="0" fontId="1" fillId="0" borderId="7" xfId="0" applyFont="1" applyBorder="1" applyAlignment="1">
      <alignment horizontal="left"/>
    </xf>
    <xf numFmtId="0" fontId="1" fillId="0" borderId="9" xfId="0" applyFont="1" applyBorder="1" applyAlignment="1">
      <alignment horizontal="left"/>
    </xf>
    <xf numFmtId="0" fontId="0" fillId="0" borderId="5" xfId="0" applyBorder="1" applyAlignment="1">
      <alignment horizontal="left" vertical="center" indent="1"/>
    </xf>
    <xf numFmtId="0" fontId="0" fillId="0" borderId="6" xfId="0" applyBorder="1" applyAlignment="1">
      <alignment horizontal="left" vertical="center" indent="1"/>
    </xf>
    <xf numFmtId="49" fontId="0" fillId="0" borderId="0" xfId="0" applyNumberFormat="1" applyAlignment="1">
      <alignment horizontal="left" vertical="center" indent="1"/>
    </xf>
    <xf numFmtId="49" fontId="0" fillId="0" borderId="8" xfId="0" applyNumberFormat="1" applyBorder="1" applyAlignment="1">
      <alignment horizontal="left" vertical="center" indent="1"/>
    </xf>
    <xf numFmtId="164" fontId="0" fillId="0" borderId="0" xfId="0" applyNumberFormat="1" applyAlignment="1">
      <alignment horizontal="left" indent="1"/>
    </xf>
    <xf numFmtId="0" fontId="3" fillId="0" borderId="0" xfId="1" applyBorder="1" applyAlignment="1">
      <alignment horizontal="left" vertical="center" indent="1"/>
    </xf>
    <xf numFmtId="0" fontId="3" fillId="0" borderId="8" xfId="1" applyBorder="1" applyAlignment="1">
      <alignment horizontal="left" vertical="center" indent="1"/>
    </xf>
    <xf numFmtId="0" fontId="0" fillId="0" borderId="7" xfId="0" applyBorder="1" applyAlignment="1">
      <alignment horizontal="left"/>
    </xf>
    <xf numFmtId="0" fontId="1" fillId="0" borderId="4" xfId="0" applyFont="1" applyBorder="1" applyAlignment="1">
      <alignment horizontal="left" vertical="center"/>
    </xf>
    <xf numFmtId="0" fontId="0" fillId="0" borderId="10" xfId="0" applyBorder="1" applyAlignment="1">
      <alignment horizontal="left" vertical="center"/>
    </xf>
    <xf numFmtId="0" fontId="0" fillId="0" borderId="1" xfId="0" applyBorder="1" applyAlignment="1">
      <alignment horizontal="left" vertical="center"/>
    </xf>
    <xf numFmtId="0" fontId="0" fillId="0" borderId="10" xfId="0" applyBorder="1" applyAlignment="1">
      <alignment horizontal="left" vertical="center"/>
    </xf>
    <xf numFmtId="0" fontId="1" fillId="0" borderId="0" xfId="0" applyFont="1" applyAlignment="1">
      <alignment horizontal="left" vertical="center"/>
    </xf>
    <xf numFmtId="0" fontId="0" fillId="0" borderId="5" xfId="0" applyBorder="1" applyAlignment="1">
      <alignment horizontal="left"/>
    </xf>
    <xf numFmtId="0" fontId="0" fillId="0" borderId="13" xfId="0" applyBorder="1" applyAlignment="1">
      <alignment horizontal="center"/>
    </xf>
    <xf numFmtId="168" fontId="0" fillId="0" borderId="13" xfId="0" applyNumberFormat="1"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167" fontId="0" fillId="0" borderId="13" xfId="0" applyNumberFormat="1" applyBorder="1" applyAlignment="1">
      <alignment horizontal="right"/>
    </xf>
    <xf numFmtId="167" fontId="0" fillId="0" borderId="3" xfId="0" applyNumberFormat="1" applyBorder="1" applyAlignment="1">
      <alignment horizontal="right"/>
    </xf>
    <xf numFmtId="167" fontId="0" fillId="0" borderId="15" xfId="0" applyNumberFormat="1" applyBorder="1" applyAlignment="1">
      <alignment horizontal="right"/>
    </xf>
    <xf numFmtId="0" fontId="12" fillId="0" borderId="4" xfId="0" applyFont="1" applyBorder="1"/>
    <xf numFmtId="0" fontId="0" fillId="0" borderId="0" xfId="0" applyBorder="1"/>
    <xf numFmtId="0" fontId="1" fillId="0" borderId="11" xfId="0" applyFont="1" applyBorder="1" applyAlignment="1">
      <alignment horizontal="left" vertical="center"/>
    </xf>
    <xf numFmtId="0" fontId="0" fillId="0" borderId="12" xfId="0" applyBorder="1"/>
    <xf numFmtId="0" fontId="0" fillId="0" borderId="5" xfId="0" applyFont="1" applyBorder="1" applyAlignment="1">
      <alignment horizontal="left" vertical="center"/>
    </xf>
    <xf numFmtId="0" fontId="0" fillId="0" borderId="0" xfId="0" applyFont="1" applyAlignment="1">
      <alignment horizontal="left" vertical="center"/>
    </xf>
    <xf numFmtId="0" fontId="0" fillId="0" borderId="10" xfId="0" applyBorder="1" applyAlignment="1">
      <alignment horizontal="left" vertical="center"/>
    </xf>
    <xf numFmtId="0" fontId="0" fillId="0" borderId="1" xfId="0"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1" fillId="0" borderId="4" xfId="0" applyFont="1" applyBorder="1" applyAlignment="1">
      <alignment horizontal="left" vertical="center"/>
    </xf>
    <xf numFmtId="0" fontId="1" fillId="0" borderId="0" xfId="0" applyFont="1" applyAlignment="1">
      <alignment horizontal="left" vertical="center"/>
    </xf>
    <xf numFmtId="0" fontId="0" fillId="0" borderId="5" xfId="0" applyBorder="1" applyAlignment="1">
      <alignment horizontal="left" vertical="center"/>
    </xf>
    <xf numFmtId="0" fontId="1" fillId="0" borderId="0" xfId="0" applyFont="1" applyAlignment="1">
      <alignment horizontal="left" vertical="center"/>
    </xf>
    <xf numFmtId="0" fontId="1" fillId="0" borderId="4" xfId="0" applyFont="1"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0" fillId="0" borderId="1" xfId="0" applyBorder="1" applyAlignment="1">
      <alignment horizontal="left" vertical="center"/>
    </xf>
    <xf numFmtId="0" fontId="0" fillId="0" borderId="10" xfId="0" applyBorder="1" applyAlignment="1">
      <alignment horizontal="left" vertical="center"/>
    </xf>
    <xf numFmtId="0" fontId="0" fillId="0" borderId="5" xfId="0" applyBorder="1" applyAlignment="1">
      <alignment horizontal="left" vertical="center"/>
    </xf>
    <xf numFmtId="0" fontId="0" fillId="0" borderId="0" xfId="0" applyAlignment="1"/>
    <xf numFmtId="164" fontId="0" fillId="0" borderId="0" xfId="0" applyNumberFormat="1" applyBorder="1" applyAlignment="1">
      <alignment horizontal="left"/>
    </xf>
    <xf numFmtId="0" fontId="3" fillId="0" borderId="0" xfId="1" applyBorder="1" applyAlignment="1">
      <alignment horizontal="left" vertical="center"/>
    </xf>
    <xf numFmtId="0" fontId="0" fillId="0" borderId="6" xfId="0" applyBorder="1" applyAlignment="1">
      <alignment horizontal="left"/>
    </xf>
    <xf numFmtId="0" fontId="0" fillId="0" borderId="8" xfId="0" applyBorder="1" applyAlignment="1">
      <alignment horizontal="left"/>
    </xf>
    <xf numFmtId="0" fontId="0" fillId="0" borderId="10" xfId="0" applyBorder="1" applyAlignment="1">
      <alignment horizontal="left"/>
    </xf>
    <xf numFmtId="0" fontId="0" fillId="0" borderId="5" xfId="0" applyBorder="1" applyAlignment="1">
      <alignment horizontal="left" indent="3"/>
    </xf>
    <xf numFmtId="0" fontId="1" fillId="2" borderId="2" xfId="0" applyFont="1" applyFill="1" applyBorder="1" applyAlignment="1">
      <alignment vertical="center"/>
    </xf>
    <xf numFmtId="0" fontId="1" fillId="2" borderId="12" xfId="0" applyFont="1" applyFill="1" applyBorder="1" applyAlignment="1">
      <alignment vertical="center"/>
    </xf>
    <xf numFmtId="0" fontId="1" fillId="0" borderId="11" xfId="0" applyFont="1" applyBorder="1" applyAlignment="1">
      <alignment vertical="center"/>
    </xf>
    <xf numFmtId="0" fontId="1" fillId="0" borderId="2" xfId="0" applyFont="1" applyBorder="1" applyAlignment="1">
      <alignment vertical="center"/>
    </xf>
    <xf numFmtId="0" fontId="1" fillId="0" borderId="2" xfId="0" applyFont="1" applyBorder="1" applyAlignment="1">
      <alignment horizontal="left" vertical="center"/>
    </xf>
    <xf numFmtId="0" fontId="1" fillId="2" borderId="11" xfId="0" applyFont="1" applyFill="1" applyBorder="1" applyAlignment="1">
      <alignment horizontal="left" vertical="center" indent="1"/>
    </xf>
    <xf numFmtId="0" fontId="0" fillId="0" borderId="0" xfId="0" applyFont="1" applyBorder="1" applyAlignment="1">
      <alignment horizontal="left" vertical="center"/>
    </xf>
    <xf numFmtId="0" fontId="4" fillId="0" borderId="0" xfId="0" applyFont="1" applyBorder="1" applyAlignment="1">
      <alignment horizontal="left" vertical="center"/>
    </xf>
    <xf numFmtId="0" fontId="0" fillId="0" borderId="8" xfId="0" applyBorder="1"/>
    <xf numFmtId="0" fontId="12" fillId="0" borderId="13" xfId="0" applyFont="1" applyBorder="1"/>
    <xf numFmtId="0" fontId="1" fillId="0" borderId="14" xfId="0" applyFont="1" applyBorder="1"/>
    <xf numFmtId="0" fontId="1" fillId="0" borderId="15" xfId="0" applyFont="1" applyBorder="1"/>
    <xf numFmtId="0" fontId="0" fillId="0" borderId="7" xfId="0" applyBorder="1" applyAlignment="1">
      <alignment vertical="top" wrapText="1"/>
    </xf>
    <xf numFmtId="0" fontId="0" fillId="0" borderId="0" xfId="0" applyBorder="1" applyAlignment="1">
      <alignment vertical="top" wrapText="1"/>
    </xf>
    <xf numFmtId="0" fontId="0" fillId="0" borderId="8" xfId="0" applyBorder="1" applyAlignment="1">
      <alignment vertical="top" wrapText="1"/>
    </xf>
    <xf numFmtId="168" fontId="5" fillId="0" borderId="13" xfId="0" applyNumberFormat="1" applyFont="1" applyBorder="1" applyAlignment="1">
      <alignment horizontal="center"/>
    </xf>
    <xf numFmtId="0" fontId="0" fillId="0" borderId="8" xfId="0" applyBorder="1" applyAlignment="1">
      <alignment horizontal="center"/>
    </xf>
    <xf numFmtId="0" fontId="0" fillId="0" borderId="8" xfId="0" applyBorder="1" applyAlignment="1"/>
    <xf numFmtId="0" fontId="0" fillId="0" borderId="10" xfId="0" applyBorder="1" applyAlignment="1"/>
    <xf numFmtId="0" fontId="1" fillId="0" borderId="0" xfId="0" applyFont="1" applyAlignment="1">
      <alignment horizontal="left" vertical="center"/>
    </xf>
    <xf numFmtId="0" fontId="1" fillId="0" borderId="4" xfId="0" applyFont="1"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0" fillId="0" borderId="1" xfId="0" applyBorder="1" applyAlignment="1">
      <alignment horizontal="left" vertical="center"/>
    </xf>
    <xf numFmtId="0" fontId="0" fillId="0" borderId="10" xfId="0" applyBorder="1" applyAlignment="1">
      <alignment horizontal="left" vertical="center"/>
    </xf>
    <xf numFmtId="0" fontId="0" fillId="0" borderId="5" xfId="0" applyBorder="1" applyAlignment="1">
      <alignment horizontal="left" vertical="center"/>
    </xf>
    <xf numFmtId="0" fontId="1" fillId="0" borderId="0" xfId="0" applyFont="1" applyAlignment="1">
      <alignment horizontal="left" vertical="center"/>
    </xf>
    <xf numFmtId="0" fontId="1" fillId="0" borderId="4" xfId="0" applyFont="1"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0" fillId="0" borderId="1" xfId="0" applyBorder="1" applyAlignment="1">
      <alignment horizontal="left" vertical="center"/>
    </xf>
    <xf numFmtId="0" fontId="0" fillId="0" borderId="10" xfId="0" applyBorder="1" applyAlignment="1">
      <alignment horizontal="left" vertical="center"/>
    </xf>
    <xf numFmtId="0" fontId="0" fillId="0" borderId="5" xfId="0" applyBorder="1" applyAlignment="1">
      <alignment horizontal="left" vertical="center"/>
    </xf>
    <xf numFmtId="172" fontId="14" fillId="0" borderId="13" xfId="0" applyNumberFormat="1" applyFont="1" applyBorder="1" applyAlignment="1">
      <alignment horizontal="center"/>
    </xf>
    <xf numFmtId="168" fontId="4" fillId="0" borderId="13" xfId="0" applyNumberFormat="1" applyFont="1" applyBorder="1" applyAlignment="1">
      <alignment horizontal="center"/>
    </xf>
    <xf numFmtId="0" fontId="0" fillId="0" borderId="1" xfId="0" applyBorder="1" applyAlignment="1">
      <alignment horizontal="left" vertical="center"/>
    </xf>
    <xf numFmtId="0" fontId="0" fillId="0" borderId="10" xfId="0"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1" fillId="0" borderId="4" xfId="0" applyFont="1" applyBorder="1" applyAlignment="1">
      <alignment horizontal="left" vertical="center"/>
    </xf>
    <xf numFmtId="0" fontId="1" fillId="0" borderId="0" xfId="0" applyFont="1" applyAlignment="1">
      <alignment horizontal="left" vertical="center"/>
    </xf>
    <xf numFmtId="0" fontId="0" fillId="0" borderId="5" xfId="0" applyBorder="1" applyAlignment="1">
      <alignment horizontal="left" vertical="center"/>
    </xf>
    <xf numFmtId="172" fontId="4" fillId="0" borderId="13" xfId="0" applyNumberFormat="1" applyFont="1" applyBorder="1" applyAlignment="1">
      <alignment horizontal="center"/>
    </xf>
    <xf numFmtId="0" fontId="1" fillId="0" borderId="7" xfId="0" applyFont="1" applyBorder="1" applyAlignment="1">
      <alignment horizontal="lef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0" xfId="0" applyFont="1" applyAlignment="1">
      <alignment horizontal="left" vertical="center"/>
    </xf>
    <xf numFmtId="0" fontId="1" fillId="0" borderId="4" xfId="0" applyFont="1"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0" fillId="0" borderId="1" xfId="0" applyBorder="1" applyAlignment="1">
      <alignment horizontal="left" vertical="center"/>
    </xf>
    <xf numFmtId="0" fontId="0" fillId="0" borderId="10" xfId="0" applyBorder="1" applyAlignment="1">
      <alignment horizontal="left" vertical="center"/>
    </xf>
    <xf numFmtId="0" fontId="0" fillId="0" borderId="5" xfId="0" applyBorder="1" applyAlignment="1">
      <alignment horizontal="left" vertical="center"/>
    </xf>
    <xf numFmtId="0" fontId="1" fillId="0" borderId="7" xfId="0" applyFont="1" applyBorder="1" applyAlignment="1">
      <alignment horizontal="left" vertical="center"/>
    </xf>
    <xf numFmtId="0" fontId="1" fillId="0" borderId="0" xfId="0" applyFont="1" applyAlignment="1">
      <alignment horizontal="left" vertical="center"/>
    </xf>
    <xf numFmtId="0" fontId="1" fillId="0" borderId="4" xfId="0" applyFont="1"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0" fillId="0" borderId="1" xfId="0" applyBorder="1" applyAlignment="1">
      <alignment horizontal="left" vertical="center"/>
    </xf>
    <xf numFmtId="0" fontId="0" fillId="0" borderId="10" xfId="0" applyBorder="1" applyAlignment="1">
      <alignment horizontal="left" vertical="center"/>
    </xf>
    <xf numFmtId="0" fontId="0" fillId="0" borderId="5" xfId="0" applyBorder="1" applyAlignment="1">
      <alignment horizontal="left" vertical="center"/>
    </xf>
    <xf numFmtId="0" fontId="1" fillId="0" borderId="7" xfId="0" applyFont="1" applyBorder="1" applyAlignment="1">
      <alignment horizontal="left" vertical="center"/>
    </xf>
    <xf numFmtId="0" fontId="1" fillId="0" borderId="12" xfId="0" applyFont="1" applyBorder="1" applyAlignment="1">
      <alignment vertical="center"/>
    </xf>
    <xf numFmtId="0" fontId="0" fillId="0" borderId="1" xfId="0" applyBorder="1" applyAlignment="1">
      <alignment horizontal="left" vertical="center"/>
    </xf>
    <xf numFmtId="0" fontId="0" fillId="0" borderId="10" xfId="0"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1" fillId="0" borderId="4" xfId="0" applyFont="1" applyBorder="1" applyAlignment="1">
      <alignment horizontal="left" vertical="center"/>
    </xf>
    <xf numFmtId="0" fontId="1" fillId="0" borderId="0" xfId="0" applyFont="1" applyAlignment="1">
      <alignment horizontal="left" vertical="center"/>
    </xf>
    <xf numFmtId="0" fontId="0" fillId="0" borderId="5" xfId="0" applyBorder="1" applyAlignment="1">
      <alignment horizontal="left" vertical="center"/>
    </xf>
    <xf numFmtId="0" fontId="1" fillId="0" borderId="7" xfId="0" applyFont="1" applyBorder="1" applyAlignment="1">
      <alignment horizontal="left" vertical="center"/>
    </xf>
    <xf numFmtId="0" fontId="1" fillId="0" borderId="0" xfId="0" applyFont="1" applyAlignment="1">
      <alignment horizontal="left" vertical="center"/>
    </xf>
    <xf numFmtId="0" fontId="1" fillId="0" borderId="4" xfId="0" applyFont="1"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0" fillId="0" borderId="1" xfId="0" applyBorder="1" applyAlignment="1">
      <alignment horizontal="left" vertical="center"/>
    </xf>
    <xf numFmtId="0" fontId="0" fillId="0" borderId="10" xfId="0" applyBorder="1" applyAlignment="1">
      <alignment horizontal="left" vertical="center"/>
    </xf>
    <xf numFmtId="0" fontId="0" fillId="0" borderId="5" xfId="0" applyBorder="1" applyAlignment="1">
      <alignment horizontal="left" vertical="center"/>
    </xf>
    <xf numFmtId="0" fontId="1" fillId="0" borderId="7" xfId="0" applyFont="1" applyBorder="1" applyAlignment="1">
      <alignment horizontal="left" vertical="center"/>
    </xf>
    <xf numFmtId="0" fontId="15" fillId="0" borderId="13" xfId="0" applyFont="1" applyBorder="1" applyAlignment="1">
      <alignment horizontal="center"/>
    </xf>
    <xf numFmtId="0" fontId="15" fillId="0" borderId="8" xfId="0" applyFont="1" applyBorder="1" applyAlignment="1">
      <alignment horizontal="center"/>
    </xf>
    <xf numFmtId="0" fontId="15" fillId="0" borderId="14" xfId="0" applyFont="1" applyBorder="1"/>
    <xf numFmtId="0" fontId="15" fillId="0" borderId="8" xfId="0" applyFont="1" applyBorder="1" applyAlignment="1"/>
    <xf numFmtId="0" fontId="15" fillId="0" borderId="14" xfId="0" applyFont="1" applyBorder="1" applyAlignment="1">
      <alignment horizontal="center"/>
    </xf>
    <xf numFmtId="168" fontId="10" fillId="0" borderId="13" xfId="0" applyNumberFormat="1" applyFont="1" applyBorder="1" applyAlignment="1">
      <alignment horizontal="center"/>
    </xf>
    <xf numFmtId="172" fontId="10" fillId="0" borderId="13" xfId="0" applyNumberFormat="1" applyFont="1" applyBorder="1" applyAlignment="1">
      <alignment horizontal="center"/>
    </xf>
    <xf numFmtId="0" fontId="1" fillId="0" borderId="14" xfId="0" applyFont="1" applyBorder="1" applyAlignment="1">
      <alignment horizontal="center"/>
    </xf>
    <xf numFmtId="0" fontId="1" fillId="0" borderId="7" xfId="0" applyFont="1" applyBorder="1" applyAlignment="1">
      <alignment vertical="top" wrapText="1"/>
    </xf>
    <xf numFmtId="0" fontId="1" fillId="0" borderId="0" xfId="0" applyFont="1" applyBorder="1" applyAlignment="1">
      <alignment vertical="top" wrapText="1"/>
    </xf>
    <xf numFmtId="0" fontId="1" fillId="0" borderId="8" xfId="0" applyFont="1" applyBorder="1" applyAlignment="1">
      <alignment vertical="top" wrapText="1"/>
    </xf>
    <xf numFmtId="0" fontId="1" fillId="0" borderId="8" xfId="0" applyFont="1" applyBorder="1" applyAlignment="1"/>
    <xf numFmtId="0" fontId="1" fillId="0" borderId="0" xfId="0" applyFont="1" applyBorder="1"/>
    <xf numFmtId="0" fontId="1" fillId="0" borderId="1" xfId="0" applyFont="1" applyBorder="1"/>
    <xf numFmtId="0" fontId="1" fillId="0" borderId="10" xfId="0" applyFont="1" applyBorder="1" applyAlignment="1"/>
    <xf numFmtId="0" fontId="1" fillId="0" borderId="15" xfId="0" applyFont="1" applyBorder="1" applyAlignment="1">
      <alignment horizontal="center"/>
    </xf>
    <xf numFmtId="0" fontId="1" fillId="0" borderId="0" xfId="0" applyFont="1"/>
    <xf numFmtId="0" fontId="1" fillId="0" borderId="8" xfId="0" applyFont="1" applyBorder="1"/>
    <xf numFmtId="0" fontId="1" fillId="0" borderId="10" xfId="0" applyFont="1" applyBorder="1"/>
    <xf numFmtId="0" fontId="0" fillId="0" borderId="1" xfId="0" applyBorder="1" applyAlignment="1">
      <alignment horizontal="left" vertical="center"/>
    </xf>
    <xf numFmtId="0" fontId="0" fillId="0" borderId="10" xfId="0"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1" fillId="0" borderId="4" xfId="0" applyFont="1" applyBorder="1" applyAlignment="1">
      <alignment horizontal="left" vertical="center"/>
    </xf>
    <xf numFmtId="0" fontId="1" fillId="0" borderId="0" xfId="0" applyFont="1" applyAlignment="1">
      <alignment horizontal="left" vertical="center"/>
    </xf>
    <xf numFmtId="0" fontId="0" fillId="0" borderId="5" xfId="0" applyBorder="1" applyAlignment="1">
      <alignment horizontal="left" vertical="center"/>
    </xf>
    <xf numFmtId="0" fontId="1" fillId="0" borderId="7" xfId="0" applyFont="1" applyBorder="1" applyAlignment="1">
      <alignment horizontal="left" vertical="center"/>
    </xf>
    <xf numFmtId="0" fontId="17" fillId="0" borderId="13" xfId="0" applyFont="1" applyBorder="1" applyAlignment="1">
      <alignment horizontal="center"/>
    </xf>
    <xf numFmtId="0" fontId="17" fillId="0" borderId="8" xfId="0" applyFont="1" applyBorder="1" applyAlignment="1">
      <alignment horizontal="center"/>
    </xf>
    <xf numFmtId="0" fontId="17" fillId="0" borderId="14" xfId="0" applyFont="1" applyBorder="1"/>
    <xf numFmtId="0" fontId="17" fillId="0" borderId="8" xfId="0" applyFont="1" applyBorder="1" applyAlignment="1"/>
    <xf numFmtId="0" fontId="17" fillId="0" borderId="14" xfId="0" applyFont="1" applyBorder="1" applyAlignment="1">
      <alignment horizontal="center"/>
    </xf>
    <xf numFmtId="0" fontId="0" fillId="0" borderId="14" xfId="0" applyFont="1" applyBorder="1" applyAlignment="1">
      <alignment horizontal="center"/>
    </xf>
    <xf numFmtId="0" fontId="0" fillId="0" borderId="14" xfId="0" applyFont="1" applyBorder="1"/>
    <xf numFmtId="0" fontId="0" fillId="0" borderId="8" xfId="0" applyFont="1" applyBorder="1" applyAlignment="1"/>
    <xf numFmtId="0" fontId="0" fillId="0" borderId="0" xfId="0" applyFont="1" applyBorder="1"/>
    <xf numFmtId="0" fontId="0" fillId="0" borderId="8" xfId="0" applyFont="1" applyBorder="1"/>
    <xf numFmtId="0" fontId="0" fillId="0" borderId="1" xfId="0" applyBorder="1" applyAlignment="1">
      <alignment horizontal="left" vertical="center"/>
    </xf>
    <xf numFmtId="0" fontId="0" fillId="0" borderId="10" xfId="0"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1" fillId="0" borderId="4" xfId="0" applyFont="1" applyBorder="1" applyAlignment="1">
      <alignment horizontal="left" vertical="center"/>
    </xf>
    <xf numFmtId="0" fontId="1" fillId="0" borderId="0" xfId="0" applyFont="1" applyAlignment="1">
      <alignment horizontal="left" vertical="center"/>
    </xf>
    <xf numFmtId="0" fontId="0" fillId="0" borderId="5" xfId="0" applyBorder="1" applyAlignment="1">
      <alignment horizontal="left" vertical="center"/>
    </xf>
    <xf numFmtId="0" fontId="1" fillId="0" borderId="7" xfId="0" applyFont="1" applyBorder="1" applyAlignment="1">
      <alignment horizontal="left" vertical="center"/>
    </xf>
    <xf numFmtId="0" fontId="1" fillId="0" borderId="0" xfId="0" applyFont="1" applyAlignment="1">
      <alignment horizontal="left" vertical="center"/>
    </xf>
    <xf numFmtId="0" fontId="1" fillId="0" borderId="4" xfId="0" applyFont="1"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0" fillId="0" borderId="1" xfId="0" applyBorder="1" applyAlignment="1">
      <alignment horizontal="left" vertical="center"/>
    </xf>
    <xf numFmtId="0" fontId="0" fillId="0" borderId="10" xfId="0" applyBorder="1" applyAlignment="1">
      <alignment horizontal="left" vertical="center"/>
    </xf>
    <xf numFmtId="0" fontId="0" fillId="0" borderId="5" xfId="0" applyBorder="1" applyAlignment="1">
      <alignment horizontal="left" vertical="center"/>
    </xf>
    <xf numFmtId="0" fontId="1" fillId="0" borderId="7" xfId="0" applyFont="1" applyBorder="1" applyAlignment="1">
      <alignment horizontal="left" vertical="center"/>
    </xf>
    <xf numFmtId="0" fontId="0" fillId="0" borderId="1" xfId="0" applyBorder="1" applyAlignment="1">
      <alignment horizontal="left" vertical="center"/>
    </xf>
    <xf numFmtId="0" fontId="0" fillId="0" borderId="10" xfId="0"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1" fillId="0" borderId="4" xfId="0" applyFont="1" applyBorder="1" applyAlignment="1">
      <alignment horizontal="left" vertical="center"/>
    </xf>
    <xf numFmtId="0" fontId="1" fillId="0" borderId="0" xfId="0" applyFont="1" applyAlignment="1">
      <alignment horizontal="left" vertical="center"/>
    </xf>
    <xf numFmtId="0" fontId="0" fillId="0" borderId="5" xfId="0" applyBorder="1" applyAlignment="1">
      <alignment horizontal="left" vertical="center"/>
    </xf>
    <xf numFmtId="0" fontId="1" fillId="0" borderId="7" xfId="0" applyFont="1" applyBorder="1" applyAlignment="1">
      <alignment horizontal="left" vertical="center"/>
    </xf>
    <xf numFmtId="0" fontId="0" fillId="0" borderId="1" xfId="0" applyBorder="1" applyAlignment="1">
      <alignment horizontal="left" vertical="center"/>
    </xf>
    <xf numFmtId="0" fontId="0" fillId="0" borderId="10" xfId="0"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1" fillId="0" borderId="4" xfId="0" applyFont="1" applyBorder="1" applyAlignment="1">
      <alignment horizontal="left" vertical="center"/>
    </xf>
    <xf numFmtId="0" fontId="1" fillId="0" borderId="0" xfId="0" applyFont="1" applyAlignment="1">
      <alignment horizontal="left" vertical="center"/>
    </xf>
    <xf numFmtId="0" fontId="0" fillId="0" borderId="5" xfId="0" applyBorder="1" applyAlignment="1">
      <alignment horizontal="left" vertical="center"/>
    </xf>
    <xf numFmtId="0" fontId="1" fillId="0" borderId="7" xfId="0" applyFont="1" applyBorder="1" applyAlignment="1">
      <alignment horizontal="left" vertical="center"/>
    </xf>
    <xf numFmtId="0" fontId="0" fillId="0" borderId="1" xfId="0" applyBorder="1" applyAlignment="1">
      <alignment horizontal="left" vertical="center"/>
    </xf>
    <xf numFmtId="0" fontId="0" fillId="0" borderId="10" xfId="0"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1" fillId="0" borderId="4" xfId="0" applyFont="1" applyBorder="1" applyAlignment="1">
      <alignment horizontal="left" vertical="center"/>
    </xf>
    <xf numFmtId="0" fontId="1" fillId="0" borderId="0" xfId="0" applyFont="1" applyAlignment="1">
      <alignment horizontal="left" vertical="center"/>
    </xf>
    <xf numFmtId="0" fontId="0" fillId="0" borderId="0" xfId="0" applyAlignment="1">
      <alignment horizontal="center"/>
    </xf>
    <xf numFmtId="0" fontId="0" fillId="0" borderId="5" xfId="0" applyBorder="1" applyAlignment="1">
      <alignment horizontal="left" vertical="center"/>
    </xf>
    <xf numFmtId="0" fontId="1" fillId="0" borderId="7" xfId="0" applyFont="1" applyBorder="1" applyAlignment="1">
      <alignment horizontal="left" vertical="center"/>
    </xf>
    <xf numFmtId="0" fontId="1" fillId="0" borderId="0" xfId="0" applyFont="1" applyAlignment="1">
      <alignment horizontal="left" vertical="center"/>
    </xf>
    <xf numFmtId="0" fontId="1" fillId="0" borderId="4" xfId="0" applyFont="1"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0" fillId="0" borderId="1" xfId="0" applyBorder="1" applyAlignment="1">
      <alignment horizontal="left" vertical="center"/>
    </xf>
    <xf numFmtId="0" fontId="0" fillId="0" borderId="10" xfId="0" applyBorder="1" applyAlignment="1">
      <alignment horizontal="left" vertical="center"/>
    </xf>
    <xf numFmtId="0" fontId="0" fillId="0" borderId="5" xfId="0" applyBorder="1" applyAlignment="1">
      <alignment horizontal="left" vertical="center"/>
    </xf>
    <xf numFmtId="0" fontId="1" fillId="0" borderId="7" xfId="0" applyFont="1" applyBorder="1" applyAlignment="1">
      <alignment horizontal="left" vertical="center"/>
    </xf>
    <xf numFmtId="0" fontId="0" fillId="0" borderId="1" xfId="0" applyBorder="1" applyAlignment="1">
      <alignment horizontal="left" vertical="center"/>
    </xf>
    <xf numFmtId="0" fontId="0" fillId="0" borderId="10" xfId="0"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1" fillId="0" borderId="4" xfId="0" applyFont="1" applyBorder="1" applyAlignment="1">
      <alignment horizontal="left" vertical="center"/>
    </xf>
    <xf numFmtId="0" fontId="1" fillId="0" borderId="0" xfId="0" applyFont="1" applyAlignment="1">
      <alignment horizontal="left" vertical="center"/>
    </xf>
    <xf numFmtId="0" fontId="0" fillId="0" borderId="5" xfId="0" applyBorder="1" applyAlignment="1">
      <alignment horizontal="left" vertical="center"/>
    </xf>
    <xf numFmtId="0" fontId="1" fillId="0" borderId="7" xfId="0" applyFont="1" applyBorder="1" applyAlignment="1">
      <alignment horizontal="left" vertical="center"/>
    </xf>
    <xf numFmtId="0" fontId="1" fillId="0" borderId="0" xfId="0" applyFont="1" applyAlignment="1">
      <alignment horizontal="left" vertical="center"/>
    </xf>
    <xf numFmtId="0" fontId="1" fillId="0" borderId="4" xfId="0" applyFont="1"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0" fillId="0" borderId="1" xfId="0" applyBorder="1" applyAlignment="1">
      <alignment horizontal="left" vertical="center"/>
    </xf>
    <xf numFmtId="0" fontId="0" fillId="0" borderId="10" xfId="0" applyBorder="1" applyAlignment="1">
      <alignment horizontal="left" vertical="center"/>
    </xf>
    <xf numFmtId="0" fontId="0" fillId="0" borderId="5" xfId="0" applyBorder="1" applyAlignment="1">
      <alignment horizontal="left" vertical="center"/>
    </xf>
    <xf numFmtId="0" fontId="1" fillId="0" borderId="7" xfId="0" applyFont="1" applyBorder="1" applyAlignment="1">
      <alignment horizontal="left" vertical="center"/>
    </xf>
    <xf numFmtId="0" fontId="17" fillId="0" borderId="7" xfId="0" applyFont="1" applyBorder="1" applyAlignment="1">
      <alignment vertical="top" wrapText="1"/>
    </xf>
    <xf numFmtId="0" fontId="17" fillId="0" borderId="0" xfId="0" applyFont="1" applyBorder="1" applyAlignment="1">
      <alignment vertical="top" wrapText="1"/>
    </xf>
    <xf numFmtId="0" fontId="17" fillId="0" borderId="8" xfId="0" applyFont="1" applyBorder="1" applyAlignment="1">
      <alignment vertical="top" wrapText="1"/>
    </xf>
    <xf numFmtId="0" fontId="17" fillId="0" borderId="7" xfId="0" applyFont="1" applyBorder="1" applyAlignment="1">
      <alignment horizontal="center"/>
    </xf>
    <xf numFmtId="168" fontId="4" fillId="0" borderId="7" xfId="0" applyNumberFormat="1" applyFont="1" applyBorder="1" applyAlignment="1">
      <alignment horizontal="center"/>
    </xf>
    <xf numFmtId="168" fontId="4" fillId="0" borderId="14" xfId="0" applyNumberFormat="1" applyFont="1" applyBorder="1" applyAlignment="1">
      <alignment horizontal="center"/>
    </xf>
    <xf numFmtId="0" fontId="17" fillId="0" borderId="15" xfId="0" applyFont="1" applyBorder="1" applyAlignment="1"/>
    <xf numFmtId="0" fontId="1" fillId="0" borderId="0" xfId="0" applyFont="1" applyAlignment="1">
      <alignment horizontal="left" vertical="center"/>
    </xf>
    <xf numFmtId="0" fontId="1" fillId="0" borderId="4" xfId="0" applyFont="1"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0" fillId="0" borderId="1" xfId="0" applyBorder="1" applyAlignment="1">
      <alignment horizontal="left" vertical="center"/>
    </xf>
    <xf numFmtId="0" fontId="0" fillId="0" borderId="10" xfId="0" applyBorder="1" applyAlignment="1">
      <alignment horizontal="left" vertical="center"/>
    </xf>
    <xf numFmtId="0" fontId="0" fillId="0" borderId="5" xfId="0" applyBorder="1" applyAlignment="1">
      <alignment horizontal="left" vertical="center"/>
    </xf>
    <xf numFmtId="0" fontId="1" fillId="0" borderId="7" xfId="0" applyFont="1" applyBorder="1" applyAlignment="1">
      <alignment horizontal="left" vertical="center"/>
    </xf>
    <xf numFmtId="0" fontId="1" fillId="0" borderId="0" xfId="0" applyFont="1" applyAlignment="1">
      <alignment horizontal="left" vertical="center"/>
    </xf>
    <xf numFmtId="0" fontId="1" fillId="0" borderId="4" xfId="0" applyFont="1"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0" fillId="0" borderId="1" xfId="0" applyBorder="1" applyAlignment="1">
      <alignment horizontal="left" vertical="center"/>
    </xf>
    <xf numFmtId="0" fontId="0" fillId="0" borderId="10" xfId="0" applyBorder="1" applyAlignment="1">
      <alignment horizontal="left" vertical="center"/>
    </xf>
    <xf numFmtId="0" fontId="0" fillId="0" borderId="5" xfId="0" applyBorder="1" applyAlignment="1">
      <alignment horizontal="left" vertical="center"/>
    </xf>
    <xf numFmtId="0" fontId="1" fillId="0" borderId="7" xfId="0" applyFont="1" applyBorder="1" applyAlignment="1">
      <alignment horizontal="left" vertical="center"/>
    </xf>
    <xf numFmtId="0" fontId="1" fillId="0" borderId="6" xfId="0" applyFont="1" applyBorder="1" applyAlignment="1">
      <alignment vertical="center"/>
    </xf>
    <xf numFmtId="0" fontId="1" fillId="0" borderId="0" xfId="0" applyFont="1" applyAlignment="1">
      <alignment horizontal="left" vertical="center"/>
    </xf>
    <xf numFmtId="0" fontId="1" fillId="0" borderId="4" xfId="0" applyFont="1"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0" fillId="0" borderId="1" xfId="0" applyBorder="1" applyAlignment="1">
      <alignment horizontal="left" vertical="center"/>
    </xf>
    <xf numFmtId="0" fontId="0" fillId="0" borderId="10" xfId="0" applyBorder="1" applyAlignment="1">
      <alignment horizontal="left" vertical="center"/>
    </xf>
    <xf numFmtId="0" fontId="0" fillId="0" borderId="5" xfId="0" applyBorder="1" applyAlignment="1">
      <alignment horizontal="left" vertical="center"/>
    </xf>
    <xf numFmtId="169" fontId="0" fillId="0" borderId="1" xfId="0" applyNumberFormat="1" applyBorder="1" applyAlignment="1">
      <alignment horizontal="left" vertical="center"/>
    </xf>
    <xf numFmtId="0" fontId="1" fillId="0" borderId="7" xfId="0" applyFont="1" applyBorder="1" applyAlignment="1">
      <alignment horizontal="left" vertical="center"/>
    </xf>
    <xf numFmtId="0" fontId="0" fillId="0" borderId="1" xfId="0" applyBorder="1" applyAlignment="1">
      <alignment horizontal="left" vertical="center"/>
    </xf>
    <xf numFmtId="0" fontId="0" fillId="0" borderId="10" xfId="0"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1" fillId="0" borderId="4" xfId="0" applyFont="1" applyBorder="1" applyAlignment="1">
      <alignment horizontal="left" vertical="center"/>
    </xf>
    <xf numFmtId="0" fontId="1" fillId="0" borderId="0" xfId="0" applyFont="1" applyAlignment="1">
      <alignment horizontal="left" vertical="center"/>
    </xf>
    <xf numFmtId="0" fontId="0" fillId="0" borderId="5" xfId="0" applyBorder="1" applyAlignment="1">
      <alignment horizontal="left" vertical="center"/>
    </xf>
    <xf numFmtId="169" fontId="0" fillId="0" borderId="1" xfId="0" applyNumberFormat="1" applyBorder="1" applyAlignment="1">
      <alignment horizontal="left" vertical="center"/>
    </xf>
    <xf numFmtId="0" fontId="1" fillId="0" borderId="7" xfId="0" applyFont="1" applyBorder="1" applyAlignment="1">
      <alignment horizontal="left" vertical="center"/>
    </xf>
    <xf numFmtId="0" fontId="1" fillId="0" borderId="0" xfId="0" applyFont="1" applyAlignment="1">
      <alignment horizontal="left" vertical="center"/>
    </xf>
    <xf numFmtId="0" fontId="1" fillId="0" borderId="4" xfId="0" applyFont="1"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0" fillId="0" borderId="1" xfId="0" applyBorder="1" applyAlignment="1">
      <alignment horizontal="left" vertical="center"/>
    </xf>
    <xf numFmtId="0" fontId="0" fillId="0" borderId="10" xfId="0" applyBorder="1" applyAlignment="1">
      <alignment horizontal="left" vertical="center"/>
    </xf>
    <xf numFmtId="0" fontId="0" fillId="0" borderId="5" xfId="0" applyBorder="1" applyAlignment="1">
      <alignment horizontal="left" vertical="center"/>
    </xf>
    <xf numFmtId="0" fontId="1" fillId="0" borderId="7" xfId="0" applyFont="1" applyBorder="1" applyAlignment="1">
      <alignment horizontal="left" vertical="center"/>
    </xf>
    <xf numFmtId="174" fontId="4" fillId="0" borderId="13" xfId="0" applyNumberFormat="1" applyFont="1" applyBorder="1" applyAlignment="1">
      <alignment horizontal="center"/>
    </xf>
    <xf numFmtId="0" fontId="0" fillId="0" borderId="1" xfId="0" applyBorder="1" applyAlignment="1">
      <alignment horizontal="left" vertical="center"/>
    </xf>
    <xf numFmtId="0" fontId="0" fillId="0" borderId="10" xfId="0"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1" fillId="0" borderId="4" xfId="0" applyFont="1" applyBorder="1" applyAlignment="1">
      <alignment horizontal="left" vertical="center"/>
    </xf>
    <xf numFmtId="0" fontId="1" fillId="0" borderId="0" xfId="0" applyFont="1" applyAlignment="1">
      <alignment horizontal="left" vertical="center"/>
    </xf>
    <xf numFmtId="0" fontId="0" fillId="0" borderId="5" xfId="0" applyBorder="1" applyAlignment="1">
      <alignment horizontal="left" vertical="center"/>
    </xf>
    <xf numFmtId="0" fontId="1" fillId="0" borderId="7" xfId="0" applyFont="1" applyBorder="1" applyAlignment="1">
      <alignment horizontal="left" vertical="center"/>
    </xf>
    <xf numFmtId="0" fontId="0" fillId="0" borderId="1" xfId="0" applyBorder="1" applyAlignment="1">
      <alignment horizontal="left" vertical="center"/>
    </xf>
    <xf numFmtId="0" fontId="0" fillId="0" borderId="10" xfId="0"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1" fillId="0" borderId="4" xfId="0" applyFont="1" applyBorder="1" applyAlignment="1">
      <alignment horizontal="left" vertical="center"/>
    </xf>
    <xf numFmtId="0" fontId="1" fillId="0" borderId="0" xfId="0" applyFont="1" applyAlignment="1">
      <alignment horizontal="left" vertical="center"/>
    </xf>
    <xf numFmtId="0" fontId="0" fillId="0" borderId="5" xfId="0" applyBorder="1" applyAlignment="1">
      <alignment horizontal="left" vertical="center"/>
    </xf>
    <xf numFmtId="0" fontId="1" fillId="0" borderId="7" xfId="0" applyFont="1" applyBorder="1" applyAlignment="1">
      <alignment horizontal="left" vertical="center"/>
    </xf>
    <xf numFmtId="0" fontId="1" fillId="0" borderId="0" xfId="0" applyFont="1" applyAlignment="1">
      <alignment horizontal="left" vertical="center"/>
    </xf>
    <xf numFmtId="0" fontId="1" fillId="0" borderId="4" xfId="0" applyFont="1"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0" fillId="0" borderId="1" xfId="0" applyBorder="1" applyAlignment="1">
      <alignment horizontal="left" vertical="center"/>
    </xf>
    <xf numFmtId="0" fontId="0" fillId="0" borderId="10" xfId="0" applyBorder="1" applyAlignment="1">
      <alignment horizontal="left" vertical="center"/>
    </xf>
    <xf numFmtId="0" fontId="0" fillId="0" borderId="5" xfId="0" applyBorder="1" applyAlignment="1">
      <alignment horizontal="left" vertical="center"/>
    </xf>
    <xf numFmtId="0" fontId="1" fillId="0" borderId="7" xfId="0" applyFont="1" applyBorder="1" applyAlignment="1">
      <alignment horizontal="left" vertical="center"/>
    </xf>
    <xf numFmtId="0" fontId="17" fillId="0" borderId="13" xfId="0" applyFont="1" applyBorder="1" applyAlignment="1">
      <alignment vertical="top" wrapText="1"/>
    </xf>
    <xf numFmtId="0" fontId="17" fillId="0" borderId="14" xfId="0" applyFont="1" applyBorder="1" applyAlignment="1">
      <alignment vertical="top"/>
    </xf>
    <xf numFmtId="14" fontId="0" fillId="0" borderId="1" xfId="0" applyNumberFormat="1" applyBorder="1" applyAlignment="1">
      <alignment horizontal="left" vertical="center"/>
    </xf>
    <xf numFmtId="0" fontId="1" fillId="0" borderId="0" xfId="0" applyFont="1" applyAlignment="1">
      <alignment horizontal="left" vertical="center"/>
    </xf>
    <xf numFmtId="0" fontId="1" fillId="0" borderId="4" xfId="0" applyFont="1"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0" fillId="0" borderId="1" xfId="0" applyBorder="1" applyAlignment="1">
      <alignment horizontal="left" vertical="center"/>
    </xf>
    <xf numFmtId="0" fontId="0" fillId="0" borderId="10" xfId="0" applyBorder="1" applyAlignment="1">
      <alignment horizontal="left" vertical="center"/>
    </xf>
    <xf numFmtId="0" fontId="0" fillId="0" borderId="5" xfId="0" applyBorder="1" applyAlignment="1">
      <alignment horizontal="left" vertical="center"/>
    </xf>
    <xf numFmtId="0" fontId="1" fillId="0" borderId="7" xfId="0" applyFont="1" applyBorder="1" applyAlignment="1">
      <alignment horizontal="left" vertical="center"/>
    </xf>
    <xf numFmtId="0" fontId="0" fillId="0" borderId="1" xfId="0" applyBorder="1" applyAlignment="1">
      <alignment horizontal="left" vertical="center"/>
    </xf>
    <xf numFmtId="0" fontId="0" fillId="0" borderId="10" xfId="0" applyBorder="1" applyAlignment="1">
      <alignment horizontal="left" vertic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1" fillId="0" borderId="4" xfId="0" applyFont="1" applyBorder="1" applyAlignment="1">
      <alignment horizontal="left" vertical="center"/>
    </xf>
    <xf numFmtId="0" fontId="1" fillId="0" borderId="0" xfId="0" applyFont="1" applyAlignment="1">
      <alignment horizontal="left" vertical="center"/>
    </xf>
    <xf numFmtId="0" fontId="0" fillId="0" borderId="5" xfId="0" applyBorder="1" applyAlignment="1">
      <alignment horizontal="left" vertical="center"/>
    </xf>
    <xf numFmtId="0" fontId="1" fillId="0" borderId="7" xfId="0" applyFont="1" applyBorder="1" applyAlignment="1">
      <alignment horizontal="left" vertical="center"/>
    </xf>
    <xf numFmtId="0" fontId="17" fillId="0" borderId="7" xfId="0" applyFont="1" applyBorder="1" applyAlignment="1">
      <alignment horizontal="left" vertical="top" wrapText="1"/>
    </xf>
    <xf numFmtId="0" fontId="17" fillId="0" borderId="0" xfId="0" applyFont="1" applyBorder="1" applyAlignment="1">
      <alignment horizontal="left" vertical="top" wrapText="1"/>
    </xf>
    <xf numFmtId="0" fontId="17" fillId="0" borderId="8" xfId="0" applyFont="1" applyBorder="1" applyAlignment="1">
      <alignment horizontal="left" vertical="top" wrapText="1"/>
    </xf>
    <xf numFmtId="0" fontId="1" fillId="0" borderId="0" xfId="0" applyFont="1" applyAlignment="1">
      <alignment horizontal="left" vertical="center"/>
    </xf>
    <xf numFmtId="0" fontId="0" fillId="0" borderId="0" xfId="0" applyAlignment="1">
      <alignment horizontal="center"/>
    </xf>
    <xf numFmtId="0" fontId="1" fillId="0" borderId="4" xfId="0" applyFont="1" applyBorder="1" applyAlignment="1">
      <alignment horizontal="left" vertical="center"/>
    </xf>
    <xf numFmtId="0" fontId="1" fillId="0" borderId="6" xfId="0" applyFont="1" applyBorder="1" applyAlignment="1">
      <alignment horizontal="left" vertical="center"/>
    </xf>
    <xf numFmtId="0" fontId="1" fillId="0" borderId="4" xfId="0" applyFont="1" applyBorder="1" applyAlignment="1">
      <alignment horizontal="center"/>
    </xf>
    <xf numFmtId="0" fontId="1" fillId="0" borderId="5" xfId="0" applyFont="1" applyBorder="1" applyAlignment="1">
      <alignment horizontal="center"/>
    </xf>
    <xf numFmtId="0" fontId="1" fillId="2" borderId="13" xfId="0" applyFont="1" applyFill="1" applyBorder="1" applyAlignment="1">
      <alignment horizontal="center" vertical="center"/>
    </xf>
    <xf numFmtId="0" fontId="1" fillId="2" borderId="15" xfId="0" applyFont="1" applyFill="1" applyBorder="1" applyAlignment="1">
      <alignment horizontal="center" vertical="center"/>
    </xf>
    <xf numFmtId="0" fontId="0" fillId="0" borderId="0" xfId="0" applyAlignment="1">
      <alignment horizontal="left" vertical="center" wrapText="1"/>
    </xf>
    <xf numFmtId="0" fontId="0" fillId="0" borderId="8" xfId="0" applyBorder="1" applyAlignment="1">
      <alignment horizontal="left" vertical="center" wrapText="1"/>
    </xf>
    <xf numFmtId="0" fontId="0" fillId="0" borderId="1" xfId="0" applyBorder="1" applyAlignment="1">
      <alignment horizontal="left" vertical="center"/>
    </xf>
    <xf numFmtId="0" fontId="0" fillId="0" borderId="10" xfId="0" applyBorder="1" applyAlignment="1">
      <alignment horizontal="left"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0" xfId="0" applyFont="1" applyFill="1" applyBorder="1" applyAlignment="1">
      <alignment horizontal="center" vertical="center"/>
    </xf>
    <xf numFmtId="0" fontId="6" fillId="0" borderId="0" xfId="0" applyFont="1" applyAlignment="1">
      <alignment horizontal="center"/>
    </xf>
    <xf numFmtId="0" fontId="1" fillId="2" borderId="3" xfId="0" applyFont="1" applyFill="1" applyBorder="1" applyAlignment="1">
      <alignment horizontal="left" vertical="center" indent="1"/>
    </xf>
    <xf numFmtId="0" fontId="1" fillId="2" borderId="13" xfId="0" applyFont="1" applyFill="1" applyBorder="1" applyAlignment="1">
      <alignment horizontal="left" vertical="center" indent="1"/>
    </xf>
    <xf numFmtId="0" fontId="0" fillId="0" borderId="4" xfId="0" applyBorder="1" applyAlignment="1">
      <alignment horizontal="left" vertical="top" wrapText="1"/>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0" xfId="0" applyBorder="1" applyAlignment="1">
      <alignment horizontal="left" vertical="top"/>
    </xf>
    <xf numFmtId="0" fontId="0" fillId="0" borderId="8" xfId="0" applyBorder="1" applyAlignment="1">
      <alignment horizontal="left" vertical="top"/>
    </xf>
    <xf numFmtId="0" fontId="0" fillId="0" borderId="18" xfId="0" applyBorder="1" applyAlignment="1">
      <alignment horizontal="left" vertical="center"/>
    </xf>
    <xf numFmtId="0" fontId="0" fillId="0" borderId="17" xfId="0" applyBorder="1" applyAlignment="1">
      <alignment horizontal="left" vertical="center"/>
    </xf>
    <xf numFmtId="0" fontId="0" fillId="0" borderId="0" xfId="0" applyAlignment="1">
      <alignment horizontal="left" vertical="center" wrapText="1" indent="1"/>
    </xf>
    <xf numFmtId="0" fontId="0" fillId="0" borderId="8" xfId="0" applyBorder="1" applyAlignment="1">
      <alignment horizontal="left" vertical="center" wrapText="1" indent="1"/>
    </xf>
    <xf numFmtId="0" fontId="0" fillId="0" borderId="1" xfId="0" applyBorder="1" applyAlignment="1">
      <alignment horizontal="left" vertical="center" indent="1"/>
    </xf>
    <xf numFmtId="0" fontId="0" fillId="0" borderId="10" xfId="0" applyBorder="1" applyAlignment="1">
      <alignment horizontal="left" vertical="center" indent="1"/>
    </xf>
    <xf numFmtId="0" fontId="1" fillId="2" borderId="13" xfId="0" applyFont="1" applyFill="1" applyBorder="1" applyAlignment="1">
      <alignment horizontal="center" vertical="center" wrapText="1"/>
    </xf>
    <xf numFmtId="0" fontId="4" fillId="0" borderId="0" xfId="0" applyFont="1" applyAlignment="1">
      <alignment horizontal="left" vertical="center" wrapText="1"/>
    </xf>
    <xf numFmtId="0" fontId="4" fillId="0" borderId="8" xfId="0" applyFont="1"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0" xfId="0" applyBorder="1" applyAlignment="1">
      <alignment horizontal="left" vertical="center" wrapText="1"/>
    </xf>
    <xf numFmtId="0" fontId="11" fillId="0" borderId="5"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Border="1" applyAlignment="1">
      <alignment horizontal="left" vertical="top" wrapText="1"/>
    </xf>
    <xf numFmtId="0" fontId="11" fillId="0" borderId="8" xfId="0" applyFont="1" applyBorder="1" applyAlignment="1">
      <alignment horizontal="left" vertical="top" wrapText="1"/>
    </xf>
    <xf numFmtId="0" fontId="1" fillId="2" borderId="15" xfId="0" applyFont="1" applyFill="1" applyBorder="1" applyAlignment="1">
      <alignment horizontal="center" vertical="center" wrapText="1"/>
    </xf>
    <xf numFmtId="0" fontId="1" fillId="0" borderId="11" xfId="0" applyFont="1" applyBorder="1" applyAlignment="1">
      <alignment horizontal="left" vertical="center"/>
    </xf>
    <xf numFmtId="0" fontId="1" fillId="0" borderId="12" xfId="0" applyFont="1" applyBorder="1" applyAlignment="1">
      <alignment horizontal="left" vertical="center"/>
    </xf>
    <xf numFmtId="1" fontId="0" fillId="0" borderId="5" xfId="0" applyNumberFormat="1" applyBorder="1" applyAlignment="1">
      <alignment horizontal="left" vertical="center"/>
    </xf>
    <xf numFmtId="166" fontId="0" fillId="0" borderId="1" xfId="0" applyNumberFormat="1" applyBorder="1" applyAlignment="1">
      <alignment horizontal="left" vertical="center"/>
    </xf>
    <xf numFmtId="0" fontId="0" fillId="0" borderId="5" xfId="0" applyBorder="1" applyAlignment="1">
      <alignment horizontal="left" vertical="center"/>
    </xf>
    <xf numFmtId="169" fontId="0" fillId="0" borderId="0" xfId="0" applyNumberFormat="1" applyAlignment="1">
      <alignment horizontal="left" vertical="center"/>
    </xf>
    <xf numFmtId="169" fontId="0" fillId="0" borderId="1" xfId="0" applyNumberFormat="1" applyBorder="1" applyAlignment="1">
      <alignment horizontal="left" vertical="center"/>
    </xf>
    <xf numFmtId="0" fontId="1" fillId="2" borderId="11" xfId="0" applyFont="1" applyFill="1" applyBorder="1" applyAlignment="1">
      <alignment horizontal="left" indent="1"/>
    </xf>
    <xf numFmtId="0" fontId="1" fillId="2" borderId="2" xfId="0" applyFont="1" applyFill="1" applyBorder="1" applyAlignment="1">
      <alignment horizontal="left" indent="1"/>
    </xf>
    <xf numFmtId="0" fontId="1" fillId="2" borderId="12" xfId="0" applyFont="1" applyFill="1" applyBorder="1" applyAlignment="1">
      <alignment horizontal="left" indent="1"/>
    </xf>
    <xf numFmtId="0" fontId="1" fillId="2" borderId="3" xfId="0" applyFont="1" applyFill="1" applyBorder="1" applyAlignment="1">
      <alignment horizontal="left" indent="1"/>
    </xf>
    <xf numFmtId="0" fontId="1" fillId="0" borderId="7" xfId="0" applyFont="1" applyBorder="1" applyAlignment="1">
      <alignment horizontal="left" vertical="top" wrapText="1"/>
    </xf>
    <xf numFmtId="0" fontId="1" fillId="0" borderId="0" xfId="0" applyFont="1" applyBorder="1" applyAlignment="1">
      <alignment horizontal="left" vertical="top"/>
    </xf>
    <xf numFmtId="0" fontId="1" fillId="0" borderId="8" xfId="0" applyFont="1" applyBorder="1" applyAlignment="1">
      <alignment horizontal="left" vertical="top"/>
    </xf>
    <xf numFmtId="0" fontId="1" fillId="0" borderId="7" xfId="0" applyFont="1" applyBorder="1" applyAlignment="1">
      <alignment horizontal="left" vertical="top"/>
    </xf>
    <xf numFmtId="0" fontId="1" fillId="0" borderId="0" xfId="0" applyFont="1" applyBorder="1" applyAlignment="1">
      <alignment horizontal="left" vertical="top" wrapText="1"/>
    </xf>
    <xf numFmtId="0" fontId="1" fillId="0" borderId="8" xfId="0" applyFont="1" applyBorder="1" applyAlignment="1">
      <alignment horizontal="left" vertical="top" wrapText="1"/>
    </xf>
    <xf numFmtId="0" fontId="1" fillId="2" borderId="4" xfId="0" applyFont="1" applyFill="1" applyBorder="1" applyAlignment="1">
      <alignment horizontal="center" vertical="center"/>
    </xf>
    <xf numFmtId="0" fontId="1" fillId="2" borderId="9" xfId="0" applyFont="1" applyFill="1" applyBorder="1" applyAlignment="1">
      <alignment horizontal="center" vertical="center"/>
    </xf>
    <xf numFmtId="170" fontId="0" fillId="0" borderId="1" xfId="0" applyNumberFormat="1" applyBorder="1" applyAlignment="1">
      <alignment horizontal="left" vertical="center" wrapText="1"/>
    </xf>
    <xf numFmtId="170" fontId="0" fillId="0" borderId="1" xfId="0" applyNumberFormat="1" applyBorder="1" applyAlignment="1">
      <alignment horizontal="left" vertical="center"/>
    </xf>
    <xf numFmtId="0" fontId="1" fillId="0" borderId="5" xfId="0" applyFont="1" applyBorder="1" applyAlignment="1">
      <alignment horizontal="left" vertical="center"/>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0" xfId="0" applyBorder="1" applyAlignment="1">
      <alignment horizontal="left" vertical="top" wrapText="1"/>
    </xf>
    <xf numFmtId="0" fontId="0" fillId="0" borderId="8" xfId="0" applyBorder="1" applyAlignment="1">
      <alignment horizontal="left" vertical="top" wrapText="1"/>
    </xf>
    <xf numFmtId="0" fontId="11" fillId="0" borderId="5" xfId="0" applyFont="1" applyBorder="1" applyAlignment="1">
      <alignment horizontal="left" vertical="top" wrapText="1" indent="1"/>
    </xf>
    <xf numFmtId="0" fontId="11" fillId="0" borderId="6" xfId="0" applyFont="1" applyBorder="1" applyAlignment="1">
      <alignment horizontal="left" vertical="top" wrapText="1" indent="1"/>
    </xf>
    <xf numFmtId="0" fontId="11" fillId="0" borderId="0" xfId="0" applyFont="1" applyBorder="1" applyAlignment="1">
      <alignment horizontal="left" vertical="top" wrapText="1" indent="1"/>
    </xf>
    <xf numFmtId="0" fontId="11" fillId="0" borderId="8" xfId="0" applyFont="1" applyBorder="1" applyAlignment="1">
      <alignment horizontal="left" vertical="top" wrapText="1" indent="1"/>
    </xf>
    <xf numFmtId="167" fontId="0" fillId="0" borderId="11" xfId="0" applyNumberFormat="1" applyBorder="1" applyAlignment="1">
      <alignment horizontal="left" indent="1"/>
    </xf>
    <xf numFmtId="167" fontId="0" fillId="0" borderId="12" xfId="0" applyNumberFormat="1" applyBorder="1" applyAlignment="1">
      <alignment horizontal="left" indent="1"/>
    </xf>
    <xf numFmtId="167" fontId="0" fillId="0" borderId="9" xfId="0" applyNumberFormat="1" applyBorder="1" applyAlignment="1">
      <alignment horizontal="left" indent="1"/>
    </xf>
    <xf numFmtId="167" fontId="0" fillId="0" borderId="10" xfId="0" applyNumberFormat="1" applyBorder="1" applyAlignment="1">
      <alignment horizontal="left" indent="1"/>
    </xf>
    <xf numFmtId="171" fontId="0" fillId="0" borderId="11" xfId="0" applyNumberFormat="1" applyBorder="1" applyAlignment="1">
      <alignment horizontal="left" indent="3"/>
    </xf>
    <xf numFmtId="171" fontId="0" fillId="0" borderId="12" xfId="0" applyNumberFormat="1" applyBorder="1" applyAlignment="1">
      <alignment horizontal="left" indent="3"/>
    </xf>
    <xf numFmtId="171" fontId="0" fillId="0" borderId="9" xfId="0" applyNumberFormat="1" applyBorder="1" applyAlignment="1">
      <alignment horizontal="left" indent="1"/>
    </xf>
    <xf numFmtId="171" fontId="0" fillId="0" borderId="10" xfId="0" applyNumberFormat="1" applyBorder="1" applyAlignment="1">
      <alignment horizontal="left" indent="1"/>
    </xf>
    <xf numFmtId="171" fontId="0" fillId="0" borderId="11" xfId="0" applyNumberFormat="1" applyBorder="1" applyAlignment="1">
      <alignment horizontal="left" indent="1"/>
    </xf>
    <xf numFmtId="171" fontId="0" fillId="0" borderId="12" xfId="0" applyNumberFormat="1" applyBorder="1" applyAlignment="1">
      <alignment horizontal="left" indent="1"/>
    </xf>
    <xf numFmtId="167" fontId="0" fillId="0" borderId="11" xfId="0" applyNumberFormat="1" applyBorder="1" applyAlignment="1">
      <alignment horizontal="left" indent="3"/>
    </xf>
    <xf numFmtId="167" fontId="0" fillId="0" borderId="12" xfId="0" applyNumberFormat="1" applyBorder="1" applyAlignment="1">
      <alignment horizontal="left" indent="3"/>
    </xf>
    <xf numFmtId="167" fontId="0" fillId="0" borderId="11" xfId="0" applyNumberFormat="1" applyBorder="1" applyAlignment="1">
      <alignment horizontal="right"/>
    </xf>
    <xf numFmtId="167" fontId="0" fillId="0" borderId="12" xfId="0" applyNumberFormat="1" applyBorder="1" applyAlignment="1">
      <alignment horizontal="right"/>
    </xf>
    <xf numFmtId="167" fontId="0" fillId="0" borderId="9" xfId="0" applyNumberFormat="1" applyBorder="1" applyAlignment="1">
      <alignment horizontal="right"/>
    </xf>
    <xf numFmtId="167" fontId="0" fillId="0" borderId="10" xfId="0" applyNumberFormat="1" applyBorder="1" applyAlignment="1">
      <alignment horizontal="right"/>
    </xf>
    <xf numFmtId="0" fontId="1" fillId="0" borderId="7" xfId="0" applyFont="1" applyBorder="1" applyAlignment="1">
      <alignment horizontal="left" vertical="center"/>
    </xf>
    <xf numFmtId="0" fontId="1" fillId="0" borderId="0" xfId="0" applyFont="1" applyBorder="1" applyAlignment="1">
      <alignment horizontal="left" vertical="center"/>
    </xf>
    <xf numFmtId="0" fontId="10" fillId="2" borderId="13" xfId="0" applyFont="1" applyFill="1" applyBorder="1" applyAlignment="1">
      <alignment horizontal="center" vertical="center" wrapText="1"/>
    </xf>
    <xf numFmtId="0" fontId="10" fillId="2" borderId="15" xfId="0" applyFont="1" applyFill="1" applyBorder="1" applyAlignment="1">
      <alignment horizontal="center" vertical="center" wrapText="1"/>
    </xf>
    <xf numFmtId="167" fontId="1" fillId="0" borderId="11" xfId="0" applyNumberFormat="1" applyFont="1" applyBorder="1" applyAlignment="1">
      <alignment horizontal="right"/>
    </xf>
    <xf numFmtId="167" fontId="1" fillId="0" borderId="12" xfId="0" applyNumberFormat="1" applyFont="1" applyBorder="1" applyAlignment="1">
      <alignment horizontal="right"/>
    </xf>
    <xf numFmtId="167" fontId="1" fillId="0" borderId="9" xfId="0" applyNumberFormat="1" applyFont="1" applyBorder="1" applyAlignment="1">
      <alignment horizontal="right"/>
    </xf>
    <xf numFmtId="167" fontId="1" fillId="0" borderId="10" xfId="0" applyNumberFormat="1" applyFont="1" applyBorder="1" applyAlignment="1">
      <alignment horizontal="right"/>
    </xf>
    <xf numFmtId="0" fontId="15" fillId="0" borderId="4" xfId="0" applyFont="1" applyBorder="1" applyAlignment="1">
      <alignment horizontal="left" vertical="top" wrapText="1"/>
    </xf>
    <xf numFmtId="0" fontId="15" fillId="0" borderId="5" xfId="0" applyFont="1" applyBorder="1" applyAlignment="1">
      <alignment horizontal="left" vertical="top" wrapText="1"/>
    </xf>
    <xf numFmtId="0" fontId="15" fillId="0" borderId="6" xfId="0" applyFont="1" applyBorder="1" applyAlignment="1">
      <alignment horizontal="left" vertical="top" wrapText="1"/>
    </xf>
    <xf numFmtId="0" fontId="15" fillId="0" borderId="7" xfId="0" applyFont="1" applyBorder="1" applyAlignment="1">
      <alignment horizontal="left" vertical="top" wrapText="1"/>
    </xf>
    <xf numFmtId="0" fontId="15" fillId="0" borderId="0" xfId="0" applyFont="1" applyBorder="1" applyAlignment="1">
      <alignment horizontal="left" vertical="top" wrapText="1"/>
    </xf>
    <xf numFmtId="0" fontId="15" fillId="0" borderId="8" xfId="0" applyFont="1" applyBorder="1" applyAlignment="1">
      <alignment horizontal="left" vertical="top" wrapText="1"/>
    </xf>
    <xf numFmtId="0" fontId="16" fillId="0" borderId="5" xfId="0" applyFont="1" applyBorder="1" applyAlignment="1">
      <alignment horizontal="left" vertical="top" wrapText="1" indent="1"/>
    </xf>
    <xf numFmtId="0" fontId="16" fillId="0" borderId="6" xfId="0" applyFont="1" applyBorder="1" applyAlignment="1">
      <alignment horizontal="left" vertical="top" wrapText="1" indent="1"/>
    </xf>
    <xf numFmtId="0" fontId="16" fillId="0" borderId="0" xfId="0" applyFont="1" applyBorder="1" applyAlignment="1">
      <alignment horizontal="left" vertical="top" wrapText="1" indent="1"/>
    </xf>
    <xf numFmtId="0" fontId="16" fillId="0" borderId="8" xfId="0" applyFont="1" applyBorder="1" applyAlignment="1">
      <alignment horizontal="left" vertical="top" wrapText="1" indent="1"/>
    </xf>
    <xf numFmtId="0" fontId="17" fillId="0" borderId="4" xfId="0" applyFont="1" applyBorder="1" applyAlignment="1">
      <alignment horizontal="left" vertical="top" wrapText="1"/>
    </xf>
    <xf numFmtId="0" fontId="17" fillId="0" borderId="5" xfId="0" applyFont="1" applyBorder="1" applyAlignment="1">
      <alignment horizontal="left" vertical="top" wrapText="1"/>
    </xf>
    <xf numFmtId="0" fontId="17" fillId="0" borderId="6" xfId="0" applyFont="1" applyBorder="1" applyAlignment="1">
      <alignment horizontal="left" vertical="top" wrapText="1"/>
    </xf>
    <xf numFmtId="0" fontId="17" fillId="0" borderId="7" xfId="0" applyFont="1" applyBorder="1" applyAlignment="1">
      <alignment horizontal="left" vertical="top" wrapText="1"/>
    </xf>
    <xf numFmtId="0" fontId="17" fillId="0" borderId="0" xfId="0" applyFont="1" applyBorder="1" applyAlignment="1">
      <alignment horizontal="left" vertical="top" wrapText="1"/>
    </xf>
    <xf numFmtId="0" fontId="17" fillId="0" borderId="8" xfId="0" applyFont="1" applyBorder="1" applyAlignment="1">
      <alignment horizontal="left" vertical="top" wrapText="1"/>
    </xf>
    <xf numFmtId="173" fontId="1" fillId="0" borderId="9" xfId="0" applyNumberFormat="1" applyFont="1" applyBorder="1" applyAlignment="1">
      <alignment horizontal="right"/>
    </xf>
    <xf numFmtId="173" fontId="1" fillId="0" borderId="10" xfId="0" applyNumberFormat="1" applyFont="1" applyBorder="1" applyAlignment="1">
      <alignment horizontal="right"/>
    </xf>
    <xf numFmtId="0" fontId="17" fillId="0" borderId="13" xfId="0" applyFont="1" applyBorder="1" applyAlignment="1">
      <alignment horizontal="center" vertical="center" wrapText="1"/>
    </xf>
    <xf numFmtId="0" fontId="17" fillId="0" borderId="14" xfId="0" applyFont="1" applyBorder="1" applyAlignment="1">
      <alignment horizontal="center" vertical="center"/>
    </xf>
    <xf numFmtId="0" fontId="1" fillId="0" borderId="4" xfId="0" applyFont="1" applyBorder="1" applyAlignment="1">
      <alignment horizontal="left" vertical="top" wrapText="1"/>
    </xf>
    <xf numFmtId="0" fontId="1" fillId="0" borderId="5" xfId="0" applyFont="1" applyBorder="1" applyAlignment="1">
      <alignment horizontal="left" vertical="top"/>
    </xf>
    <xf numFmtId="0" fontId="1" fillId="0" borderId="9" xfId="0" applyFont="1" applyBorder="1" applyAlignment="1">
      <alignment horizontal="left" vertical="top"/>
    </xf>
    <xf numFmtId="0" fontId="1" fillId="0" borderId="1" xfId="0" applyFont="1" applyBorder="1" applyAlignment="1">
      <alignment horizontal="left" vertical="top"/>
    </xf>
    <xf numFmtId="0" fontId="1" fillId="0" borderId="11" xfId="0" applyFont="1" applyBorder="1" applyAlignment="1">
      <alignment horizontal="center" vertical="center"/>
    </xf>
    <xf numFmtId="0" fontId="1" fillId="0" borderId="2" xfId="0" applyFont="1" applyBorder="1" applyAlignment="1">
      <alignment horizontal="center" vertical="center"/>
    </xf>
    <xf numFmtId="14" fontId="0" fillId="0" borderId="1" xfId="0" applyNumberFormat="1" applyBorder="1" applyAlignment="1">
      <alignment horizontal="left" vertical="center"/>
    </xf>
    <xf numFmtId="175" fontId="0" fillId="0" borderId="1" xfId="0" applyNumberFormat="1" applyBorder="1" applyAlignment="1">
      <alignment horizontal="left" vertical="center"/>
    </xf>
    <xf numFmtId="0" fontId="1" fillId="0" borderId="2" xfId="0" applyFont="1" applyBorder="1" applyAlignment="1">
      <alignment horizontal="left" vertical="center"/>
    </xf>
    <xf numFmtId="0" fontId="1" fillId="0" borderId="0" xfId="0" applyFont="1" applyBorder="1" applyAlignment="1">
      <alignment horizontal="left"/>
    </xf>
    <xf numFmtId="0" fontId="1" fillId="0" borderId="8" xfId="0" applyFont="1" applyBorder="1" applyAlignment="1">
      <alignment horizontal="left"/>
    </xf>
    <xf numFmtId="0" fontId="1" fillId="0" borderId="1" xfId="0" applyFont="1" applyBorder="1" applyAlignment="1">
      <alignment horizontal="left"/>
    </xf>
    <xf numFmtId="0" fontId="1" fillId="0" borderId="10" xfId="0" applyFont="1" applyBorder="1" applyAlignment="1">
      <alignment horizontal="left"/>
    </xf>
    <xf numFmtId="0" fontId="17" fillId="0" borderId="7" xfId="0" applyFont="1" applyBorder="1" applyAlignment="1">
      <alignment horizontal="left" wrapText="1"/>
    </xf>
    <xf numFmtId="0" fontId="17" fillId="0" borderId="0" xfId="0" applyFont="1" applyBorder="1" applyAlignment="1">
      <alignment horizontal="left" wrapText="1"/>
    </xf>
    <xf numFmtId="0" fontId="17" fillId="0" borderId="8" xfId="0" applyFont="1" applyBorder="1" applyAlignment="1">
      <alignment horizontal="left" wrapText="1"/>
    </xf>
    <xf numFmtId="180" fontId="0" fillId="0" borderId="14" xfId="0" applyNumberFormat="1" applyFont="1" applyBorder="1" applyAlignment="1">
      <alignment horizontal="center"/>
    </xf>
    <xf numFmtId="180" fontId="1" fillId="0" borderId="14" xfId="0" applyNumberFormat="1" applyFont="1" applyBorder="1" applyAlignment="1">
      <alignment horizontal="center"/>
    </xf>
    <xf numFmtId="180" fontId="1" fillId="0" borderId="15" xfId="0" applyNumberFormat="1" applyFont="1" applyBorder="1" applyAlignment="1">
      <alignment horizontal="center"/>
    </xf>
    <xf numFmtId="0" fontId="17" fillId="0" borderId="14" xfId="0" applyFont="1" applyBorder="1" applyAlignment="1"/>
    <xf numFmtId="0" fontId="0" fillId="0" borderId="14" xfId="0" applyFont="1" applyBorder="1" applyAlignment="1"/>
    <xf numFmtId="0" fontId="1" fillId="0" borderId="14" xfId="0" applyFont="1" applyBorder="1" applyAlignment="1"/>
    <xf numFmtId="172" fontId="4" fillId="0" borderId="14" xfId="0" applyNumberFormat="1"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eetMetadata" Target="metadata.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06/relationships/rdRichValueStructure" Target="richData/rdrichvaluestructure.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06/relationships/rdRichValueTypes" Target="richData/rdRichValueTyp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9550A3D-66A7-4DDF-8738-D7776C8CEB6F}">
  <we:reference id="wa200009404" version="1.0.0.8" store="en-US" storeType="OMEX"/>
  <we:alternateReferences>
    <we:reference id="wa200009404" version="1.0.0.8" store="en-US" storeType="OMEX"/>
  </we:alternateReferences>
  <we:properties>
    <we:property name="claude.fileId" value="&quot;f58fd4ad-36f6-4d3d-adbc-cdb37bacfbb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D05EC-B1D3-4402-A219-2AA43C41A40D}">
  <sheetPr codeName="Sheet1">
    <pageSetUpPr fitToPage="1"/>
  </sheetPr>
  <dimension ref="B1:J47"/>
  <sheetViews>
    <sheetView showWhiteSpace="0" view="pageLayout" topLeftCell="A31" zoomScaleNormal="190" workbookViewId="0">
      <selection activeCell="E41" sqref="E41"/>
    </sheetView>
  </sheetViews>
  <sheetFormatPr defaultColWidth="8.6640625" defaultRowHeight="14.4" x14ac:dyDescent="0.3"/>
  <cols>
    <col min="1" max="1" width="3.33203125" customWidth="1"/>
    <col min="4" max="4" width="12.21875" customWidth="1"/>
    <col min="5" max="5" width="9" customWidth="1"/>
    <col min="6" max="6" width="9.33203125" customWidth="1"/>
    <col min="7" max="7" width="12.33203125" customWidth="1"/>
    <col min="9" max="9" width="9.77734375" customWidth="1"/>
    <col min="10" max="10" width="12.33203125" customWidth="1"/>
    <col min="11" max="11" width="4.44140625" customWidth="1"/>
    <col min="12" max="12" width="5.44140625" customWidth="1"/>
  </cols>
  <sheetData>
    <row r="1" spans="2:10" ht="14.25" customHeight="1" x14ac:dyDescent="0.3">
      <c r="B1" s="422" t="e" vm="1">
        <v>#VALUE!</v>
      </c>
      <c r="C1" s="422"/>
      <c r="D1" s="422"/>
      <c r="E1" s="422"/>
      <c r="G1" s="416" t="s">
        <v>0</v>
      </c>
      <c r="H1" s="416"/>
      <c r="I1" s="416"/>
      <c r="J1" s="416"/>
    </row>
    <row r="2" spans="2:10" ht="14.25" customHeight="1" x14ac:dyDescent="0.3">
      <c r="B2" s="422"/>
      <c r="C2" s="422"/>
      <c r="D2" s="422"/>
      <c r="E2" s="422"/>
      <c r="G2" s="417"/>
      <c r="H2" s="417"/>
      <c r="I2" s="417"/>
      <c r="J2" s="417"/>
    </row>
    <row r="3" spans="2:10" ht="14.25" customHeight="1" x14ac:dyDescent="0.3">
      <c r="B3" s="422"/>
      <c r="C3" s="422"/>
      <c r="D3" s="422"/>
      <c r="E3" s="422"/>
      <c r="G3" s="6" t="s">
        <v>1</v>
      </c>
      <c r="H3" s="7"/>
      <c r="I3" s="7"/>
      <c r="J3" s="8"/>
    </row>
    <row r="4" spans="2:10" x14ac:dyDescent="0.3">
      <c r="B4" s="422"/>
      <c r="C4" s="422"/>
      <c r="D4" s="422"/>
      <c r="E4" s="422"/>
      <c r="G4" s="48" t="s">
        <v>3</v>
      </c>
      <c r="H4" s="18"/>
      <c r="I4" s="9"/>
      <c r="J4" s="10"/>
    </row>
    <row r="5" spans="2:10" x14ac:dyDescent="0.3">
      <c r="B5" s="422"/>
      <c r="C5" s="422"/>
      <c r="D5" s="422"/>
      <c r="E5" s="422"/>
      <c r="G5" s="49" t="s">
        <v>2</v>
      </c>
      <c r="H5" s="19"/>
      <c r="I5" s="2"/>
      <c r="J5" s="4"/>
    </row>
    <row r="6" spans="2:10" ht="14.25" customHeight="1" x14ac:dyDescent="0.3">
      <c r="B6" s="422"/>
      <c r="C6" s="422"/>
      <c r="D6" s="422"/>
      <c r="E6" s="422"/>
      <c r="G6" s="48" t="s">
        <v>23</v>
      </c>
      <c r="H6" s="18"/>
      <c r="I6" s="9"/>
      <c r="J6" s="10"/>
    </row>
    <row r="7" spans="2:10" x14ac:dyDescent="0.3">
      <c r="B7" s="422"/>
      <c r="C7" s="422"/>
      <c r="D7" s="422"/>
      <c r="E7" s="422"/>
      <c r="G7" s="49" t="s">
        <v>2</v>
      </c>
      <c r="H7" s="19"/>
      <c r="I7" s="2"/>
      <c r="J7" s="4"/>
    </row>
    <row r="8" spans="2:10" x14ac:dyDescent="0.3">
      <c r="B8" s="422"/>
      <c r="C8" s="422"/>
      <c r="D8" s="422"/>
      <c r="E8" s="422"/>
      <c r="G8" s="48" t="s">
        <v>24</v>
      </c>
      <c r="H8" s="18"/>
      <c r="I8" s="9"/>
      <c r="J8" s="10"/>
    </row>
    <row r="9" spans="2:10" x14ac:dyDescent="0.3">
      <c r="B9" s="422"/>
      <c r="C9" s="422"/>
      <c r="D9" s="422"/>
      <c r="E9" s="422"/>
      <c r="G9" s="49" t="s">
        <v>2</v>
      </c>
      <c r="H9" s="19"/>
      <c r="I9" s="2"/>
      <c r="J9" s="4"/>
    </row>
    <row r="11" spans="2:10" ht="14.25" customHeight="1" x14ac:dyDescent="0.3">
      <c r="B11" s="20" t="s">
        <v>10</v>
      </c>
      <c r="C11" s="24"/>
      <c r="D11" s="24"/>
      <c r="E11" s="25"/>
      <c r="G11" s="20" t="s">
        <v>4</v>
      </c>
      <c r="H11" s="21"/>
      <c r="I11" s="21"/>
      <c r="J11" s="22"/>
    </row>
    <row r="12" spans="2:10" ht="14.25" customHeight="1" x14ac:dyDescent="0.3">
      <c r="B12" s="43" t="s">
        <v>11</v>
      </c>
      <c r="C12" s="27" t="s">
        <v>15</v>
      </c>
      <c r="D12" s="27"/>
      <c r="E12" s="28"/>
      <c r="G12" s="47" t="s">
        <v>5</v>
      </c>
      <c r="H12" s="12" t="s">
        <v>20</v>
      </c>
      <c r="I12" s="12"/>
      <c r="J12" s="13"/>
    </row>
    <row r="13" spans="2:10" ht="14.25" customHeight="1" x14ac:dyDescent="0.3">
      <c r="B13" s="44" t="s">
        <v>12</v>
      </c>
      <c r="C13" s="412" t="s">
        <v>19</v>
      </c>
      <c r="D13" s="412"/>
      <c r="E13" s="413"/>
      <c r="G13" s="47" t="s">
        <v>6</v>
      </c>
      <c r="H13" s="14" t="s">
        <v>21</v>
      </c>
      <c r="I13" s="14"/>
      <c r="J13" s="15"/>
    </row>
    <row r="14" spans="2:10" ht="14.25" customHeight="1" x14ac:dyDescent="0.3">
      <c r="B14" s="44"/>
      <c r="C14" s="412"/>
      <c r="D14" s="412"/>
      <c r="E14" s="413"/>
      <c r="G14" s="47" t="s">
        <v>7</v>
      </c>
      <c r="H14" s="17" t="s">
        <v>16</v>
      </c>
      <c r="I14" s="17"/>
      <c r="J14" s="23"/>
    </row>
    <row r="15" spans="2:10" ht="14.25" customHeight="1" x14ac:dyDescent="0.3">
      <c r="B15" s="45" t="s">
        <v>13</v>
      </c>
      <c r="C15" s="29" t="s">
        <v>17</v>
      </c>
      <c r="D15" s="29"/>
      <c r="E15" s="30"/>
      <c r="G15" s="47" t="s">
        <v>8</v>
      </c>
      <c r="H15" s="26" t="s">
        <v>45</v>
      </c>
      <c r="I15" s="17"/>
      <c r="J15" s="16"/>
    </row>
    <row r="16" spans="2:10" x14ac:dyDescent="0.3">
      <c r="B16" s="45" t="s">
        <v>14</v>
      </c>
      <c r="C16" s="51" t="s">
        <v>18</v>
      </c>
      <c r="D16" s="31"/>
      <c r="E16" s="32"/>
      <c r="G16" s="47" t="s">
        <v>9</v>
      </c>
      <c r="H16" s="1" t="s">
        <v>22</v>
      </c>
      <c r="I16" s="1"/>
      <c r="J16" s="16"/>
    </row>
    <row r="17" spans="2:10" x14ac:dyDescent="0.3">
      <c r="B17" s="46" t="s">
        <v>46</v>
      </c>
      <c r="C17" s="414" t="s">
        <v>47</v>
      </c>
      <c r="D17" s="414"/>
      <c r="E17" s="415"/>
      <c r="G17" s="46"/>
      <c r="H17" s="2"/>
      <c r="I17" s="2"/>
      <c r="J17" s="4"/>
    </row>
    <row r="18" spans="2:10" ht="14.25" customHeight="1" x14ac:dyDescent="0.3"/>
    <row r="20" spans="2:10" x14ac:dyDescent="0.3">
      <c r="B20" s="423" t="s">
        <v>25</v>
      </c>
      <c r="C20" s="418" t="s">
        <v>30</v>
      </c>
      <c r="D20" s="418"/>
      <c r="E20" s="418"/>
      <c r="F20" s="419"/>
      <c r="G20" s="410" t="s">
        <v>29</v>
      </c>
      <c r="H20" s="410" t="s">
        <v>28</v>
      </c>
      <c r="I20" s="410" t="s">
        <v>27</v>
      </c>
      <c r="J20" s="410" t="s">
        <v>26</v>
      </c>
    </row>
    <row r="21" spans="2:10" x14ac:dyDescent="0.3">
      <c r="B21" s="424"/>
      <c r="C21" s="420"/>
      <c r="D21" s="420"/>
      <c r="E21" s="420"/>
      <c r="F21" s="421"/>
      <c r="G21" s="411"/>
      <c r="H21" s="411"/>
      <c r="I21" s="411"/>
      <c r="J21" s="411"/>
    </row>
    <row r="22" spans="2:10" x14ac:dyDescent="0.3">
      <c r="B22" s="33"/>
      <c r="C22" s="9"/>
      <c r="D22" s="9"/>
      <c r="E22" s="9"/>
      <c r="F22" s="9"/>
      <c r="G22" s="33"/>
      <c r="H22" s="33"/>
      <c r="I22" s="33"/>
      <c r="J22" s="33"/>
    </row>
    <row r="23" spans="2:10" x14ac:dyDescent="0.3">
      <c r="B23" s="34"/>
      <c r="G23" s="34"/>
      <c r="H23" s="34"/>
      <c r="I23" s="34"/>
      <c r="J23" s="34"/>
    </row>
    <row r="24" spans="2:10" x14ac:dyDescent="0.3">
      <c r="B24" s="34"/>
      <c r="G24" s="34"/>
      <c r="H24" s="34"/>
      <c r="I24" s="34"/>
      <c r="J24" s="34"/>
    </row>
    <row r="25" spans="2:10" x14ac:dyDescent="0.3">
      <c r="B25" s="34"/>
      <c r="G25" s="34"/>
      <c r="H25" s="34"/>
      <c r="I25" s="34"/>
      <c r="J25" s="34"/>
    </row>
    <row r="26" spans="2:10" x14ac:dyDescent="0.3">
      <c r="B26" s="34"/>
      <c r="G26" s="34"/>
      <c r="H26" s="34"/>
      <c r="I26" s="34"/>
      <c r="J26" s="34"/>
    </row>
    <row r="27" spans="2:10" x14ac:dyDescent="0.3">
      <c r="B27" s="34"/>
      <c r="G27" s="34"/>
      <c r="H27" s="34"/>
      <c r="I27" s="34"/>
      <c r="J27" s="34"/>
    </row>
    <row r="28" spans="2:10" x14ac:dyDescent="0.3">
      <c r="B28" s="34"/>
      <c r="G28" s="34"/>
      <c r="H28" s="34"/>
      <c r="I28" s="34"/>
      <c r="J28" s="34"/>
    </row>
    <row r="29" spans="2:10" x14ac:dyDescent="0.3">
      <c r="B29" s="34"/>
      <c r="G29" s="34"/>
      <c r="H29" s="34"/>
      <c r="I29" s="34"/>
      <c r="J29" s="34"/>
    </row>
    <row r="30" spans="2:10" x14ac:dyDescent="0.3">
      <c r="B30" s="34"/>
      <c r="G30" s="34"/>
      <c r="H30" s="34"/>
      <c r="I30" s="34"/>
      <c r="J30" s="34"/>
    </row>
    <row r="31" spans="2:10" x14ac:dyDescent="0.3">
      <c r="B31" s="34"/>
      <c r="G31" s="34"/>
      <c r="H31" s="34"/>
      <c r="I31" s="34"/>
      <c r="J31" s="34"/>
    </row>
    <row r="32" spans="2:10" x14ac:dyDescent="0.3">
      <c r="B32" s="34"/>
      <c r="G32" s="34"/>
      <c r="H32" s="34"/>
      <c r="I32" s="34"/>
      <c r="J32" s="34"/>
    </row>
    <row r="33" spans="2:10" x14ac:dyDescent="0.3">
      <c r="B33" s="34"/>
      <c r="G33" s="34"/>
      <c r="H33" s="34"/>
      <c r="I33" s="34"/>
      <c r="J33" s="34"/>
    </row>
    <row r="34" spans="2:10" x14ac:dyDescent="0.3">
      <c r="B34" s="34"/>
      <c r="G34" s="34"/>
      <c r="H34" s="34"/>
      <c r="I34" s="34"/>
      <c r="J34" s="34"/>
    </row>
    <row r="35" spans="2:10" x14ac:dyDescent="0.3">
      <c r="B35" s="34"/>
      <c r="G35" s="34"/>
      <c r="H35" s="34"/>
      <c r="I35" s="34"/>
      <c r="J35" s="34"/>
    </row>
    <row r="36" spans="2:10" x14ac:dyDescent="0.3">
      <c r="B36" s="34"/>
      <c r="G36" s="34"/>
      <c r="H36" s="34"/>
      <c r="I36" s="34"/>
      <c r="J36" s="34"/>
    </row>
    <row r="37" spans="2:10" x14ac:dyDescent="0.3">
      <c r="B37" s="35"/>
      <c r="C37" s="2"/>
      <c r="D37" s="2"/>
      <c r="E37" s="2"/>
      <c r="F37" s="2"/>
      <c r="G37" s="35"/>
      <c r="H37" s="35"/>
      <c r="I37" s="35"/>
      <c r="J37" s="35"/>
    </row>
    <row r="38" spans="2:10" x14ac:dyDescent="0.3">
      <c r="B38" s="408" t="s">
        <v>35</v>
      </c>
      <c r="C38" s="409"/>
      <c r="D38" s="39"/>
      <c r="E38" s="39"/>
      <c r="F38" s="39"/>
      <c r="G38" s="40"/>
      <c r="H38" s="406" t="s">
        <v>31</v>
      </c>
      <c r="I38" s="407"/>
      <c r="J38" s="33"/>
    </row>
    <row r="39" spans="2:10" x14ac:dyDescent="0.3">
      <c r="B39" s="11"/>
      <c r="D39" s="41"/>
      <c r="E39" s="41"/>
      <c r="F39" s="41"/>
      <c r="G39" s="42"/>
      <c r="H39" s="50" t="s">
        <v>32</v>
      </c>
      <c r="I39" s="38">
        <v>0.09</v>
      </c>
      <c r="J39" s="3"/>
    </row>
    <row r="40" spans="2:10" x14ac:dyDescent="0.3">
      <c r="B40" s="11"/>
      <c r="H40" s="50" t="s">
        <v>33</v>
      </c>
      <c r="I40" s="38">
        <v>0.09</v>
      </c>
      <c r="J40" s="3"/>
    </row>
    <row r="41" spans="2:10" x14ac:dyDescent="0.3">
      <c r="B41" s="5"/>
      <c r="C41" s="2"/>
      <c r="D41" s="2"/>
      <c r="E41" s="2"/>
      <c r="F41" s="2"/>
      <c r="G41" s="2"/>
      <c r="H41" s="49" t="s">
        <v>34</v>
      </c>
      <c r="I41" s="37"/>
      <c r="J41" s="35"/>
    </row>
    <row r="43" spans="2:10" x14ac:dyDescent="0.3">
      <c r="B43" s="404" t="s">
        <v>36</v>
      </c>
      <c r="C43" s="404"/>
    </row>
    <row r="44" spans="2:10" x14ac:dyDescent="0.3">
      <c r="B44" s="404" t="s">
        <v>37</v>
      </c>
      <c r="C44" s="404"/>
      <c r="D44" t="s">
        <v>41</v>
      </c>
      <c r="H44" s="405" t="e" vm="2">
        <v>#VALUE!</v>
      </c>
      <c r="I44" s="405"/>
      <c r="J44" s="405"/>
    </row>
    <row r="45" spans="2:10" x14ac:dyDescent="0.3">
      <c r="B45" s="404" t="s">
        <v>38</v>
      </c>
      <c r="C45" s="404"/>
      <c r="D45" s="36" t="s">
        <v>42</v>
      </c>
      <c r="H45" s="405"/>
      <c r="I45" s="405"/>
      <c r="J45" s="405"/>
    </row>
    <row r="46" spans="2:10" x14ac:dyDescent="0.3">
      <c r="B46" s="404" t="s">
        <v>39</v>
      </c>
      <c r="C46" s="404"/>
      <c r="D46" t="s">
        <v>44</v>
      </c>
      <c r="H46" s="405"/>
      <c r="I46" s="405"/>
      <c r="J46" s="405"/>
    </row>
    <row r="47" spans="2:10" x14ac:dyDescent="0.3">
      <c r="B47" s="404" t="s">
        <v>40</v>
      </c>
      <c r="C47" s="404"/>
      <c r="D47" t="s">
        <v>43</v>
      </c>
      <c r="J47" s="54" t="s">
        <v>48</v>
      </c>
    </row>
  </sheetData>
  <mergeCells count="18">
    <mergeCell ref="C13:E14"/>
    <mergeCell ref="C17:E17"/>
    <mergeCell ref="G1:J2"/>
    <mergeCell ref="J20:J21"/>
    <mergeCell ref="C20:F21"/>
    <mergeCell ref="B1:E9"/>
    <mergeCell ref="B20:B21"/>
    <mergeCell ref="G20:G21"/>
    <mergeCell ref="H38:I38"/>
    <mergeCell ref="B38:C38"/>
    <mergeCell ref="B43:C43"/>
    <mergeCell ref="H20:H21"/>
    <mergeCell ref="I20:I21"/>
    <mergeCell ref="B44:C44"/>
    <mergeCell ref="B45:C45"/>
    <mergeCell ref="B46:C46"/>
    <mergeCell ref="B47:C47"/>
    <mergeCell ref="H44:J46"/>
  </mergeCells>
  <printOptions gridLines="1"/>
  <pageMargins left="0.23622047244094491" right="0.23622047244094491" top="0.47244094488188981" bottom="1.0629921259842521" header="0.31496062992125984" footer="0.31496062992125984"/>
  <pageSetup paperSize="9" fitToHeight="0" orientation="portrait" r:id="rId1"/>
  <ignoredErrors>
    <ignoredError sqref="D4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EBE0F-1813-4726-9377-6ED1F01D71D0}">
  <sheetPr codeName="Sheet2">
    <pageSetUpPr fitToPage="1"/>
  </sheetPr>
  <dimension ref="A1:I47"/>
  <sheetViews>
    <sheetView view="pageLayout" topLeftCell="A4" zoomScaleNormal="190" workbookViewId="0">
      <selection activeCell="F22" sqref="F22"/>
    </sheetView>
  </sheetViews>
  <sheetFormatPr defaultColWidth="8.6640625" defaultRowHeight="14.4" x14ac:dyDescent="0.3"/>
  <cols>
    <col min="1" max="1" width="10.6640625" customWidth="1"/>
    <col min="3" max="3" width="12.21875" customWidth="1"/>
    <col min="4" max="4" width="9" customWidth="1"/>
    <col min="5" max="5" width="9.33203125" customWidth="1"/>
    <col min="6" max="6" width="12.33203125" customWidth="1"/>
    <col min="8" max="8" width="9.77734375" customWidth="1"/>
    <col min="9" max="9" width="19.109375" customWidth="1"/>
  </cols>
  <sheetData>
    <row r="1" spans="1:9" ht="14.25" customHeight="1" x14ac:dyDescent="0.3">
      <c r="A1" s="422" t="e" vm="1">
        <v>#VALUE!</v>
      </c>
      <c r="B1" s="422"/>
      <c r="C1" s="422"/>
      <c r="D1" s="422"/>
      <c r="F1" s="416" t="s">
        <v>0</v>
      </c>
      <c r="G1" s="416"/>
      <c r="H1" s="416"/>
      <c r="I1" s="416"/>
    </row>
    <row r="2" spans="1:9" ht="14.25" customHeight="1" x14ac:dyDescent="0.3">
      <c r="A2" s="422"/>
      <c r="B2" s="422"/>
      <c r="C2" s="422"/>
      <c r="D2" s="422"/>
      <c r="F2" s="417"/>
      <c r="G2" s="417"/>
      <c r="H2" s="417"/>
      <c r="I2" s="417"/>
    </row>
    <row r="3" spans="1:9" ht="14.25" customHeight="1" x14ac:dyDescent="0.3">
      <c r="A3" s="422"/>
      <c r="B3" s="422"/>
      <c r="C3" s="422"/>
      <c r="D3" s="422"/>
      <c r="F3" s="6" t="s">
        <v>1</v>
      </c>
      <c r="G3" s="7"/>
      <c r="H3" s="7"/>
      <c r="I3" s="8"/>
    </row>
    <row r="4" spans="1:9" x14ac:dyDescent="0.3">
      <c r="A4" s="422"/>
      <c r="B4" s="422"/>
      <c r="C4" s="422"/>
      <c r="D4" s="422"/>
      <c r="F4" s="52" t="s">
        <v>3</v>
      </c>
      <c r="G4" s="55">
        <v>6</v>
      </c>
      <c r="H4" s="9"/>
      <c r="I4" s="10"/>
    </row>
    <row r="5" spans="1:9" x14ac:dyDescent="0.3">
      <c r="A5" s="422"/>
      <c r="B5" s="422"/>
      <c r="C5" s="422"/>
      <c r="D5" s="422"/>
      <c r="F5" s="49" t="s">
        <v>2</v>
      </c>
      <c r="G5" s="56" t="s">
        <v>49</v>
      </c>
      <c r="H5" s="2"/>
      <c r="I5" s="4"/>
    </row>
    <row r="6" spans="1:9" ht="14.25" customHeight="1" x14ac:dyDescent="0.3">
      <c r="A6" s="422"/>
      <c r="B6" s="422"/>
      <c r="C6" s="422"/>
      <c r="D6" s="422"/>
      <c r="F6" s="52" t="s">
        <v>23</v>
      </c>
      <c r="G6" s="69" t="s">
        <v>56</v>
      </c>
      <c r="H6" s="9"/>
      <c r="I6" s="10"/>
    </row>
    <row r="7" spans="1:9" x14ac:dyDescent="0.3">
      <c r="A7" s="422"/>
      <c r="B7" s="422"/>
      <c r="C7" s="422"/>
      <c r="D7" s="422"/>
      <c r="F7" s="49" t="s">
        <v>2</v>
      </c>
      <c r="G7" s="70" t="s">
        <v>56</v>
      </c>
      <c r="H7" s="2"/>
      <c r="I7" s="4"/>
    </row>
    <row r="8" spans="1:9" x14ac:dyDescent="0.3">
      <c r="A8" s="422"/>
      <c r="B8" s="422"/>
      <c r="C8" s="422"/>
      <c r="D8" s="422"/>
      <c r="F8" s="52" t="s">
        <v>24</v>
      </c>
      <c r="G8" s="18"/>
      <c r="H8" s="69" t="s">
        <v>56</v>
      </c>
      <c r="I8" s="10"/>
    </row>
    <row r="9" spans="1:9" x14ac:dyDescent="0.3">
      <c r="A9" s="422"/>
      <c r="B9" s="422"/>
      <c r="C9" s="422"/>
      <c r="D9" s="422"/>
      <c r="F9" s="49" t="s">
        <v>2</v>
      </c>
      <c r="G9" s="73" t="s">
        <v>56</v>
      </c>
      <c r="H9" s="2"/>
      <c r="I9" s="4"/>
    </row>
    <row r="10" spans="1:9" x14ac:dyDescent="0.3">
      <c r="G10" s="2"/>
      <c r="H10" s="60"/>
    </row>
    <row r="11" spans="1:9" ht="14.25" customHeight="1" x14ac:dyDescent="0.3">
      <c r="A11" s="20" t="s">
        <v>10</v>
      </c>
      <c r="B11" s="24"/>
      <c r="C11" s="24"/>
      <c r="D11" s="25"/>
      <c r="F11" s="20" t="s">
        <v>4</v>
      </c>
      <c r="G11" s="21"/>
      <c r="H11" s="72"/>
      <c r="I11" s="22"/>
    </row>
    <row r="12" spans="1:9" ht="14.25" customHeight="1" x14ac:dyDescent="0.3">
      <c r="A12" s="74" t="s">
        <v>11</v>
      </c>
      <c r="B12" s="78" t="s">
        <v>15</v>
      </c>
      <c r="C12" s="78"/>
      <c r="D12" s="79"/>
      <c r="F12" s="47" t="s">
        <v>5</v>
      </c>
      <c r="G12" s="12" t="s">
        <v>50</v>
      </c>
      <c r="H12" s="71"/>
      <c r="I12" s="13"/>
    </row>
    <row r="13" spans="1:9" ht="14.25" customHeight="1" x14ac:dyDescent="0.3">
      <c r="A13" s="75" t="s">
        <v>12</v>
      </c>
      <c r="B13" s="433" t="s">
        <v>57</v>
      </c>
      <c r="C13" s="433"/>
      <c r="D13" s="434"/>
      <c r="F13" s="47" t="s">
        <v>12</v>
      </c>
      <c r="G13" s="438" t="s">
        <v>51</v>
      </c>
      <c r="H13" s="438"/>
      <c r="I13" s="439"/>
    </row>
    <row r="14" spans="1:9" ht="14.25" customHeight="1" x14ac:dyDescent="0.3">
      <c r="A14" s="75"/>
      <c r="B14" s="433"/>
      <c r="C14" s="433"/>
      <c r="D14" s="434"/>
      <c r="F14" s="85"/>
      <c r="G14" s="438"/>
      <c r="H14" s="438"/>
      <c r="I14" s="439"/>
    </row>
    <row r="15" spans="1:9" ht="14.25" customHeight="1" x14ac:dyDescent="0.3">
      <c r="A15" s="76" t="s">
        <v>13</v>
      </c>
      <c r="B15" s="80" t="s">
        <v>17</v>
      </c>
      <c r="C15" s="80"/>
      <c r="D15" s="81"/>
      <c r="F15" s="47"/>
      <c r="G15" s="438"/>
      <c r="H15" s="438"/>
      <c r="I15" s="439"/>
    </row>
    <row r="16" spans="1:9" x14ac:dyDescent="0.3">
      <c r="A16" s="76" t="s">
        <v>14</v>
      </c>
      <c r="B16" s="82" t="s">
        <v>18</v>
      </c>
      <c r="C16" s="83"/>
      <c r="D16" s="84"/>
      <c r="F16" s="47" t="s">
        <v>46</v>
      </c>
      <c r="G16" s="61" t="s">
        <v>52</v>
      </c>
      <c r="H16" s="57"/>
      <c r="I16" s="58"/>
    </row>
    <row r="17" spans="1:9" x14ac:dyDescent="0.3">
      <c r="A17" s="77" t="s">
        <v>46</v>
      </c>
      <c r="B17" s="435" t="s">
        <v>47</v>
      </c>
      <c r="C17" s="435"/>
      <c r="D17" s="436"/>
      <c r="F17" s="5"/>
      <c r="G17" s="2"/>
      <c r="H17" s="2"/>
      <c r="I17" s="4"/>
    </row>
    <row r="18" spans="1:9" ht="14.25" customHeight="1" x14ac:dyDescent="0.3">
      <c r="F18" s="9"/>
    </row>
    <row r="20" spans="1:9" x14ac:dyDescent="0.3">
      <c r="A20" s="423" t="s">
        <v>25</v>
      </c>
      <c r="B20" s="418" t="s">
        <v>30</v>
      </c>
      <c r="C20" s="418"/>
      <c r="D20" s="418"/>
      <c r="E20" s="419"/>
      <c r="F20" s="410" t="s">
        <v>29</v>
      </c>
      <c r="G20" s="437" t="s">
        <v>53</v>
      </c>
      <c r="H20" s="410" t="s">
        <v>27</v>
      </c>
      <c r="I20" s="410" t="s">
        <v>26</v>
      </c>
    </row>
    <row r="21" spans="1:9" x14ac:dyDescent="0.3">
      <c r="A21" s="424"/>
      <c r="B21" s="420"/>
      <c r="C21" s="420"/>
      <c r="D21" s="420"/>
      <c r="E21" s="421"/>
      <c r="F21" s="411"/>
      <c r="G21" s="411"/>
      <c r="H21" s="411"/>
      <c r="I21" s="411"/>
    </row>
    <row r="22" spans="1:9" x14ac:dyDescent="0.3">
      <c r="A22" s="59">
        <v>1</v>
      </c>
      <c r="B22" s="425" t="s">
        <v>58</v>
      </c>
      <c r="C22" s="426"/>
      <c r="D22" s="426"/>
      <c r="E22" s="427"/>
      <c r="F22" s="59">
        <v>7318</v>
      </c>
      <c r="G22" s="59">
        <v>24</v>
      </c>
      <c r="H22" s="65">
        <v>250</v>
      </c>
      <c r="I22" s="65">
        <f>SUM(H22*G22)</f>
        <v>6000</v>
      </c>
    </row>
    <row r="23" spans="1:9" x14ac:dyDescent="0.3">
      <c r="A23" s="34"/>
      <c r="B23" s="428"/>
      <c r="C23" s="429"/>
      <c r="D23" s="429"/>
      <c r="E23" s="430"/>
      <c r="F23" s="66"/>
      <c r="G23" s="66"/>
      <c r="H23" s="66"/>
      <c r="I23" s="66"/>
    </row>
    <row r="24" spans="1:9" x14ac:dyDescent="0.3">
      <c r="A24" s="34"/>
      <c r="B24" s="428"/>
      <c r="C24" s="429"/>
      <c r="D24" s="429"/>
      <c r="E24" s="430"/>
      <c r="F24" s="66"/>
      <c r="G24" s="66"/>
      <c r="H24" s="66"/>
      <c r="I24" s="66"/>
    </row>
    <row r="25" spans="1:9" x14ac:dyDescent="0.3">
      <c r="A25" s="34"/>
      <c r="F25" s="66"/>
      <c r="G25" s="66"/>
      <c r="H25" s="66"/>
      <c r="I25" s="66"/>
    </row>
    <row r="26" spans="1:9" x14ac:dyDescent="0.3">
      <c r="A26" s="34"/>
      <c r="F26" s="66"/>
      <c r="G26" s="66"/>
      <c r="H26" s="66"/>
      <c r="I26" s="66"/>
    </row>
    <row r="27" spans="1:9" x14ac:dyDescent="0.3">
      <c r="A27" s="34"/>
      <c r="F27" s="66"/>
      <c r="G27" s="66"/>
      <c r="H27" s="66"/>
      <c r="I27" s="66"/>
    </row>
    <row r="28" spans="1:9" x14ac:dyDescent="0.3">
      <c r="A28" s="34"/>
      <c r="F28" s="66"/>
      <c r="G28" s="66"/>
      <c r="H28" s="66"/>
      <c r="I28" s="66"/>
    </row>
    <row r="29" spans="1:9" x14ac:dyDescent="0.3">
      <c r="A29" s="34"/>
      <c r="F29" s="66"/>
      <c r="G29" s="66"/>
      <c r="H29" s="66"/>
      <c r="I29" s="66"/>
    </row>
    <row r="30" spans="1:9" x14ac:dyDescent="0.3">
      <c r="A30" s="34"/>
      <c r="F30" s="66"/>
      <c r="G30" s="66"/>
      <c r="H30" s="66"/>
      <c r="I30" s="66"/>
    </row>
    <row r="31" spans="1:9" x14ac:dyDescent="0.3">
      <c r="A31" s="34"/>
      <c r="F31" s="66"/>
      <c r="G31" s="66"/>
      <c r="H31" s="66"/>
      <c r="I31" s="66"/>
    </row>
    <row r="32" spans="1:9" x14ac:dyDescent="0.3">
      <c r="A32" s="34"/>
      <c r="F32" s="66"/>
      <c r="G32" s="66"/>
      <c r="H32" s="66"/>
      <c r="I32" s="66"/>
    </row>
    <row r="33" spans="1:9" x14ac:dyDescent="0.3">
      <c r="A33" s="34"/>
      <c r="F33" s="66"/>
      <c r="G33" s="66"/>
      <c r="H33" s="66"/>
      <c r="I33" s="66"/>
    </row>
    <row r="34" spans="1:9" x14ac:dyDescent="0.3">
      <c r="A34" s="34"/>
      <c r="F34" s="66"/>
      <c r="G34" s="66"/>
      <c r="H34" s="66"/>
      <c r="I34" s="66"/>
    </row>
    <row r="35" spans="1:9" x14ac:dyDescent="0.3">
      <c r="A35" s="34"/>
      <c r="F35" s="66"/>
      <c r="G35" s="66"/>
      <c r="H35" s="66"/>
      <c r="I35" s="66"/>
    </row>
    <row r="36" spans="1:9" x14ac:dyDescent="0.3">
      <c r="A36" s="34"/>
      <c r="F36" s="66"/>
      <c r="G36" s="66"/>
      <c r="H36" s="66"/>
      <c r="I36" s="66"/>
    </row>
    <row r="37" spans="1:9" x14ac:dyDescent="0.3">
      <c r="A37" s="35"/>
      <c r="B37" s="2"/>
      <c r="C37" s="2"/>
      <c r="D37" s="2"/>
      <c r="E37" s="2"/>
      <c r="F37" s="67"/>
      <c r="G37" s="67"/>
      <c r="H37" s="67"/>
      <c r="I37" s="67"/>
    </row>
    <row r="38" spans="1:9" x14ac:dyDescent="0.3">
      <c r="A38" s="408" t="s">
        <v>35</v>
      </c>
      <c r="B38" s="409"/>
      <c r="C38" s="431" t="s">
        <v>55</v>
      </c>
      <c r="D38" s="431"/>
      <c r="E38" s="431"/>
      <c r="F38" s="432"/>
      <c r="G38" s="406" t="s">
        <v>31</v>
      </c>
      <c r="H38" s="407"/>
      <c r="I38" s="62">
        <v>6000</v>
      </c>
    </row>
    <row r="39" spans="1:9" x14ac:dyDescent="0.3">
      <c r="A39" s="11"/>
      <c r="C39" s="41"/>
      <c r="D39" s="41"/>
      <c r="E39" s="41"/>
      <c r="F39" s="42"/>
      <c r="G39" s="50" t="s">
        <v>54</v>
      </c>
      <c r="H39" s="38">
        <v>0.18</v>
      </c>
      <c r="I39" s="68">
        <f>I22 * 0.18</f>
        <v>1080</v>
      </c>
    </row>
    <row r="40" spans="1:9" x14ac:dyDescent="0.3">
      <c r="A40" s="11"/>
      <c r="G40" s="50"/>
      <c r="H40" s="63"/>
      <c r="I40" s="3"/>
    </row>
    <row r="41" spans="1:9" x14ac:dyDescent="0.3">
      <c r="A41" s="5"/>
      <c r="B41" s="2"/>
      <c r="C41" s="2"/>
      <c r="D41" s="2"/>
      <c r="E41" s="2"/>
      <c r="F41" s="2"/>
      <c r="G41" s="49" t="s">
        <v>34</v>
      </c>
      <c r="H41" s="53"/>
      <c r="I41" s="64">
        <v>7080</v>
      </c>
    </row>
    <row r="43" spans="1:9" x14ac:dyDescent="0.3">
      <c r="A43" s="404" t="s">
        <v>36</v>
      </c>
      <c r="B43" s="404"/>
    </row>
    <row r="44" spans="1:9" x14ac:dyDescent="0.3">
      <c r="A44" s="404" t="s">
        <v>37</v>
      </c>
      <c r="B44" s="404"/>
      <c r="C44" t="s">
        <v>41</v>
      </c>
      <c r="G44" s="405" t="e" vm="3">
        <v>#VALUE!</v>
      </c>
      <c r="H44" s="405"/>
      <c r="I44" s="405"/>
    </row>
    <row r="45" spans="1:9" x14ac:dyDescent="0.3">
      <c r="A45" s="404" t="s">
        <v>38</v>
      </c>
      <c r="B45" s="404"/>
      <c r="C45" s="36" t="s">
        <v>42</v>
      </c>
      <c r="G45" s="405"/>
      <c r="H45" s="405"/>
      <c r="I45" s="405"/>
    </row>
    <row r="46" spans="1:9" x14ac:dyDescent="0.3">
      <c r="A46" s="404" t="s">
        <v>39</v>
      </c>
      <c r="B46" s="404"/>
      <c r="C46" t="s">
        <v>44</v>
      </c>
      <c r="G46" s="405"/>
      <c r="H46" s="405"/>
      <c r="I46" s="405"/>
    </row>
    <row r="47" spans="1:9" x14ac:dyDescent="0.3">
      <c r="A47" s="404" t="s">
        <v>40</v>
      </c>
      <c r="B47" s="404"/>
      <c r="C47" t="s">
        <v>43</v>
      </c>
      <c r="I47" s="54" t="s">
        <v>48</v>
      </c>
    </row>
  </sheetData>
  <mergeCells count="21">
    <mergeCell ref="A1:D9"/>
    <mergeCell ref="F1:I2"/>
    <mergeCell ref="B13:D14"/>
    <mergeCell ref="B17:D17"/>
    <mergeCell ref="A20:A21"/>
    <mergeCell ref="B20:E21"/>
    <mergeCell ref="F20:F21"/>
    <mergeCell ref="G20:G21"/>
    <mergeCell ref="H20:H21"/>
    <mergeCell ref="I20:I21"/>
    <mergeCell ref="G13:I15"/>
    <mergeCell ref="A47:B47"/>
    <mergeCell ref="B22:E24"/>
    <mergeCell ref="C38:F38"/>
    <mergeCell ref="A38:B38"/>
    <mergeCell ref="G38:H38"/>
    <mergeCell ref="A43:B43"/>
    <mergeCell ref="A44:B44"/>
    <mergeCell ref="G44:I46"/>
    <mergeCell ref="A45:B45"/>
    <mergeCell ref="A46:B46"/>
  </mergeCells>
  <printOptions headings="1"/>
  <pageMargins left="0.25" right="0.25" top="0.25" bottom="0.25" header="0" footer="0"/>
  <pageSetup paperSize="9" scale="95" fitToHeight="0" orientation="portrait" r:id="rId1"/>
  <headerFooter>
    <oddFooter>&amp;C&amp;"-,Italic"&amp;10THIS IS A COMPUTER GENERATED INVOICE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CCFE7-F56C-4614-AEFB-170C1A58C61F}">
  <sheetPr codeName="Sheet3">
    <pageSetUpPr fitToPage="1"/>
  </sheetPr>
  <dimension ref="B1:J48"/>
  <sheetViews>
    <sheetView showWhiteSpace="0" view="pageLayout" topLeftCell="A9" zoomScale="85" zoomScaleNormal="190" zoomScalePageLayoutView="85" workbookViewId="0">
      <selection activeCell="D38" sqref="D38:G39"/>
    </sheetView>
  </sheetViews>
  <sheetFormatPr defaultColWidth="8.6640625" defaultRowHeight="14.4" x14ac:dyDescent="0.3"/>
  <cols>
    <col min="1" max="1" width="3.33203125" customWidth="1"/>
    <col min="4" max="4" width="12.21875" customWidth="1"/>
    <col min="5" max="5" width="9" customWidth="1"/>
    <col min="6" max="6" width="9.33203125" customWidth="1"/>
    <col min="7" max="7" width="12.33203125" customWidth="1"/>
    <col min="8" max="8" width="11" bestFit="1" customWidth="1"/>
    <col min="9" max="9" width="9.77734375" customWidth="1"/>
    <col min="10" max="10" width="12.33203125" customWidth="1"/>
    <col min="11" max="11" width="4.44140625" customWidth="1"/>
    <col min="12" max="12" width="5.44140625" customWidth="1"/>
  </cols>
  <sheetData>
    <row r="1" spans="2:10" ht="14.25" customHeight="1" x14ac:dyDescent="0.3">
      <c r="B1" s="422" t="e" vm="1">
        <v>#VALUE!</v>
      </c>
      <c r="C1" s="422"/>
      <c r="D1" s="422"/>
      <c r="E1" s="422"/>
      <c r="G1" s="416" t="s">
        <v>0</v>
      </c>
      <c r="H1" s="416"/>
      <c r="I1" s="416"/>
      <c r="J1" s="416"/>
    </row>
    <row r="2" spans="2:10" ht="14.25" customHeight="1" x14ac:dyDescent="0.3">
      <c r="B2" s="422"/>
      <c r="C2" s="422"/>
      <c r="D2" s="422"/>
      <c r="E2" s="422"/>
      <c r="G2" s="417"/>
      <c r="H2" s="417"/>
      <c r="I2" s="417"/>
      <c r="J2" s="417"/>
    </row>
    <row r="3" spans="2:10" ht="14.25" customHeight="1" x14ac:dyDescent="0.3">
      <c r="B3" s="422"/>
      <c r="C3" s="422"/>
      <c r="D3" s="422"/>
      <c r="E3" s="422"/>
      <c r="G3" s="6" t="s">
        <v>1</v>
      </c>
      <c r="H3" s="7"/>
      <c r="I3" s="7"/>
      <c r="J3" s="8"/>
    </row>
    <row r="4" spans="2:10" x14ac:dyDescent="0.3">
      <c r="B4" s="422"/>
      <c r="C4" s="422"/>
      <c r="D4" s="422"/>
      <c r="E4" s="422"/>
      <c r="G4" s="86" t="s">
        <v>3</v>
      </c>
      <c r="H4" s="454">
        <v>13</v>
      </c>
      <c r="I4" s="454"/>
      <c r="J4" s="10"/>
    </row>
    <row r="5" spans="2:10" x14ac:dyDescent="0.3">
      <c r="B5" s="422"/>
      <c r="C5" s="422"/>
      <c r="D5" s="422"/>
      <c r="E5" s="422"/>
      <c r="G5" s="49" t="s">
        <v>2</v>
      </c>
      <c r="H5" s="455">
        <v>45937</v>
      </c>
      <c r="I5" s="455"/>
      <c r="J5" s="4"/>
    </row>
    <row r="6" spans="2:10" ht="14.25" customHeight="1" x14ac:dyDescent="0.3">
      <c r="B6" s="422"/>
      <c r="C6" s="422"/>
      <c r="D6" s="422"/>
      <c r="E6" s="422"/>
      <c r="G6" s="86" t="s">
        <v>23</v>
      </c>
      <c r="H6" s="452">
        <v>57255026100043</v>
      </c>
      <c r="I6" s="452"/>
      <c r="J6" s="10"/>
    </row>
    <row r="7" spans="2:10" x14ac:dyDescent="0.3">
      <c r="B7" s="422"/>
      <c r="C7" s="422"/>
      <c r="D7" s="422"/>
      <c r="E7" s="422"/>
      <c r="G7" s="49" t="s">
        <v>2</v>
      </c>
      <c r="H7" s="453">
        <v>45719</v>
      </c>
      <c r="I7" s="453"/>
      <c r="J7" s="4"/>
    </row>
    <row r="8" spans="2:10" x14ac:dyDescent="0.3">
      <c r="B8" s="422"/>
      <c r="C8" s="422"/>
      <c r="D8" s="422"/>
      <c r="E8" s="422"/>
      <c r="G8" s="86" t="s">
        <v>24</v>
      </c>
      <c r="H8" s="18"/>
      <c r="I8" s="91">
        <v>13</v>
      </c>
      <c r="J8" s="10"/>
    </row>
    <row r="9" spans="2:10" x14ac:dyDescent="0.3">
      <c r="B9" s="422"/>
      <c r="C9" s="422"/>
      <c r="D9" s="422"/>
      <c r="E9" s="422"/>
      <c r="G9" s="49" t="s">
        <v>2</v>
      </c>
      <c r="H9" s="456">
        <v>45937</v>
      </c>
      <c r="I9" s="456"/>
      <c r="J9" s="4"/>
    </row>
    <row r="10" spans="2:10" x14ac:dyDescent="0.3">
      <c r="F10" s="100"/>
      <c r="G10" s="450" t="s">
        <v>62</v>
      </c>
      <c r="H10" s="451"/>
      <c r="I10" s="101" t="s">
        <v>64</v>
      </c>
      <c r="J10" s="102"/>
    </row>
    <row r="11" spans="2:10" ht="14.25" customHeight="1" x14ac:dyDescent="0.3">
      <c r="F11" s="100"/>
      <c r="G11" s="2"/>
      <c r="H11" s="2"/>
      <c r="I11" s="2"/>
      <c r="J11" s="2"/>
    </row>
    <row r="12" spans="2:10" ht="14.25" customHeight="1" x14ac:dyDescent="0.3">
      <c r="B12" s="20" t="s">
        <v>10</v>
      </c>
      <c r="C12" s="24"/>
      <c r="D12" s="24"/>
      <c r="E12" s="25"/>
      <c r="G12" s="20" t="s">
        <v>4</v>
      </c>
      <c r="H12" s="21"/>
      <c r="I12" s="21"/>
      <c r="J12" s="22"/>
    </row>
    <row r="13" spans="2:10" ht="14.25" customHeight="1" x14ac:dyDescent="0.3">
      <c r="B13" s="99" t="s">
        <v>11</v>
      </c>
      <c r="C13" s="27" t="s">
        <v>15</v>
      </c>
      <c r="D13" s="27"/>
      <c r="E13" s="28"/>
      <c r="G13" s="47" t="s">
        <v>5</v>
      </c>
      <c r="H13" s="103" t="s">
        <v>63</v>
      </c>
      <c r="I13" s="12"/>
      <c r="J13" s="13"/>
    </row>
    <row r="14" spans="2:10" ht="14.25" customHeight="1" x14ac:dyDescent="0.3">
      <c r="B14" s="44" t="s">
        <v>12</v>
      </c>
      <c r="C14" s="412" t="s">
        <v>19</v>
      </c>
      <c r="D14" s="412"/>
      <c r="E14" s="413"/>
      <c r="G14" s="47" t="s">
        <v>6</v>
      </c>
      <c r="H14" s="104" t="s">
        <v>65</v>
      </c>
      <c r="I14" s="14"/>
      <c r="J14" s="15"/>
    </row>
    <row r="15" spans="2:10" ht="14.25" customHeight="1" x14ac:dyDescent="0.3">
      <c r="B15" s="44"/>
      <c r="C15" s="412"/>
      <c r="D15" s="412"/>
      <c r="E15" s="413"/>
      <c r="G15" s="47" t="s">
        <v>7</v>
      </c>
      <c r="H15" s="104" t="s">
        <v>16</v>
      </c>
      <c r="I15" s="17"/>
      <c r="J15" s="23"/>
    </row>
    <row r="16" spans="2:10" x14ac:dyDescent="0.3">
      <c r="B16" s="45" t="s">
        <v>13</v>
      </c>
      <c r="C16" s="29" t="s">
        <v>17</v>
      </c>
      <c r="D16" s="29"/>
      <c r="E16" s="30"/>
      <c r="G16" s="47" t="s">
        <v>8</v>
      </c>
      <c r="H16" s="26" t="s">
        <v>45</v>
      </c>
      <c r="I16" s="17"/>
      <c r="J16" s="16"/>
    </row>
    <row r="17" spans="2:10" x14ac:dyDescent="0.3">
      <c r="B17" s="45" t="s">
        <v>14</v>
      </c>
      <c r="C17" s="51" t="s">
        <v>18</v>
      </c>
      <c r="D17" s="31"/>
      <c r="E17" s="32"/>
      <c r="G17" s="47" t="s">
        <v>9</v>
      </c>
      <c r="H17" s="1" t="s">
        <v>22</v>
      </c>
      <c r="I17" s="1"/>
      <c r="J17" s="16"/>
    </row>
    <row r="18" spans="2:10" ht="14.25" customHeight="1" x14ac:dyDescent="0.3">
      <c r="B18" s="46" t="s">
        <v>46</v>
      </c>
      <c r="C18" s="88" t="s">
        <v>47</v>
      </c>
      <c r="D18" s="88"/>
      <c r="E18" s="89"/>
      <c r="G18" s="46"/>
      <c r="H18" s="2"/>
      <c r="I18" s="2"/>
      <c r="J18" s="4"/>
    </row>
    <row r="20" spans="2:10" x14ac:dyDescent="0.3">
      <c r="B20" s="423" t="s">
        <v>25</v>
      </c>
      <c r="C20" s="418" t="s">
        <v>30</v>
      </c>
      <c r="D20" s="418"/>
      <c r="E20" s="418"/>
      <c r="F20" s="419"/>
      <c r="G20" s="410" t="s">
        <v>29</v>
      </c>
      <c r="H20" s="437" t="s">
        <v>60</v>
      </c>
      <c r="I20" s="437" t="s">
        <v>61</v>
      </c>
      <c r="J20" s="410" t="s">
        <v>26</v>
      </c>
    </row>
    <row r="21" spans="2:10" x14ac:dyDescent="0.3">
      <c r="B21" s="424"/>
      <c r="C21" s="420"/>
      <c r="D21" s="420"/>
      <c r="E21" s="420"/>
      <c r="F21" s="421"/>
      <c r="G21" s="411"/>
      <c r="H21" s="449"/>
      <c r="I21" s="449"/>
      <c r="J21" s="411"/>
    </row>
    <row r="22" spans="2:10" x14ac:dyDescent="0.3">
      <c r="B22" s="92">
        <v>1</v>
      </c>
      <c r="C22" s="440" t="s">
        <v>59</v>
      </c>
      <c r="D22" s="441"/>
      <c r="E22" s="441"/>
      <c r="F22" s="442"/>
      <c r="G22" s="92">
        <v>8484</v>
      </c>
      <c r="H22" s="92">
        <v>200</v>
      </c>
      <c r="I22" s="93">
        <v>155</v>
      </c>
      <c r="J22" s="93">
        <f>SUM(I22*H22)</f>
        <v>31000</v>
      </c>
    </row>
    <row r="23" spans="2:10" x14ac:dyDescent="0.3">
      <c r="B23" s="34"/>
      <c r="C23" s="443"/>
      <c r="D23" s="444"/>
      <c r="E23" s="444"/>
      <c r="F23" s="413"/>
      <c r="G23" s="94"/>
      <c r="H23" s="94"/>
      <c r="I23" s="94"/>
      <c r="J23" s="94"/>
    </row>
    <row r="24" spans="2:10" x14ac:dyDescent="0.3">
      <c r="B24" s="34"/>
      <c r="C24" s="443"/>
      <c r="D24" s="444"/>
      <c r="E24" s="444"/>
      <c r="F24" s="413"/>
      <c r="G24" s="94"/>
      <c r="H24" s="94"/>
      <c r="I24" s="94"/>
      <c r="J24" s="94"/>
    </row>
    <row r="25" spans="2:10" x14ac:dyDescent="0.3">
      <c r="B25" s="34"/>
      <c r="G25" s="94"/>
      <c r="H25" s="94"/>
      <c r="I25" s="94"/>
      <c r="J25" s="94"/>
    </row>
    <row r="26" spans="2:10" x14ac:dyDescent="0.3">
      <c r="B26" s="34"/>
      <c r="G26" s="94"/>
      <c r="H26" s="94"/>
      <c r="I26" s="94"/>
      <c r="J26" s="94"/>
    </row>
    <row r="27" spans="2:10" x14ac:dyDescent="0.3">
      <c r="B27" s="34"/>
      <c r="G27" s="94"/>
      <c r="H27" s="94"/>
      <c r="I27" s="94"/>
      <c r="J27" s="94"/>
    </row>
    <row r="28" spans="2:10" x14ac:dyDescent="0.3">
      <c r="B28" s="34"/>
      <c r="G28" s="94"/>
      <c r="H28" s="94"/>
      <c r="I28" s="94"/>
      <c r="J28" s="94"/>
    </row>
    <row r="29" spans="2:10" x14ac:dyDescent="0.3">
      <c r="B29" s="34"/>
      <c r="G29" s="94"/>
      <c r="H29" s="94"/>
      <c r="I29" s="94"/>
      <c r="J29" s="94"/>
    </row>
    <row r="30" spans="2:10" x14ac:dyDescent="0.3">
      <c r="B30" s="34"/>
      <c r="G30" s="94"/>
      <c r="H30" s="94"/>
      <c r="I30" s="94"/>
      <c r="J30" s="94"/>
    </row>
    <row r="31" spans="2:10" x14ac:dyDescent="0.3">
      <c r="B31" s="34"/>
      <c r="G31" s="94"/>
      <c r="H31" s="94"/>
      <c r="I31" s="94"/>
      <c r="J31" s="94"/>
    </row>
    <row r="32" spans="2:10" x14ac:dyDescent="0.3">
      <c r="B32" s="34"/>
      <c r="G32" s="94"/>
      <c r="H32" s="94"/>
      <c r="I32" s="94"/>
      <c r="J32" s="94"/>
    </row>
    <row r="33" spans="2:10" x14ac:dyDescent="0.3">
      <c r="B33" s="34"/>
      <c r="G33" s="94"/>
      <c r="H33" s="94"/>
      <c r="I33" s="94"/>
      <c r="J33" s="94"/>
    </row>
    <row r="34" spans="2:10" x14ac:dyDescent="0.3">
      <c r="B34" s="34"/>
      <c r="G34" s="94"/>
      <c r="H34" s="94"/>
      <c r="I34" s="94"/>
      <c r="J34" s="94"/>
    </row>
    <row r="35" spans="2:10" x14ac:dyDescent="0.3">
      <c r="B35" s="34"/>
      <c r="G35" s="94"/>
      <c r="H35" s="94"/>
      <c r="I35" s="94"/>
      <c r="J35" s="94"/>
    </row>
    <row r="36" spans="2:10" x14ac:dyDescent="0.3">
      <c r="B36" s="34"/>
      <c r="G36" s="94"/>
      <c r="H36" s="94"/>
      <c r="I36" s="94"/>
      <c r="J36" s="94"/>
    </row>
    <row r="37" spans="2:10" x14ac:dyDescent="0.3">
      <c r="B37" s="35"/>
      <c r="C37" s="2"/>
      <c r="D37" s="2"/>
      <c r="E37" s="2"/>
      <c r="F37" s="2"/>
      <c r="G37" s="95"/>
      <c r="H37" s="95"/>
      <c r="I37" s="95"/>
      <c r="J37" s="95"/>
    </row>
    <row r="38" spans="2:10" x14ac:dyDescent="0.3">
      <c r="B38" s="408" t="s">
        <v>35</v>
      </c>
      <c r="C38" s="409"/>
      <c r="D38" s="445" t="e" cm="1">
        <f t="array" aca="1" ref="D38" ca="1">RupeesToWords(J41)</f>
        <v>#NAME?</v>
      </c>
      <c r="E38" s="445"/>
      <c r="F38" s="445"/>
      <c r="G38" s="446"/>
      <c r="H38" s="406" t="s">
        <v>31</v>
      </c>
      <c r="I38" s="407"/>
      <c r="J38" s="96">
        <f>SUM(J39+J40)</f>
        <v>5580</v>
      </c>
    </row>
    <row r="39" spans="2:10" x14ac:dyDescent="0.3">
      <c r="B39" s="11"/>
      <c r="D39" s="447"/>
      <c r="E39" s="447"/>
      <c r="F39" s="447"/>
      <c r="G39" s="448"/>
      <c r="H39" s="50" t="s">
        <v>32</v>
      </c>
      <c r="I39" s="38">
        <v>0.09</v>
      </c>
      <c r="J39" s="97">
        <f>J22 * I39</f>
        <v>2790</v>
      </c>
    </row>
    <row r="40" spans="2:10" x14ac:dyDescent="0.3">
      <c r="B40" s="11"/>
      <c r="H40" s="50" t="s">
        <v>33</v>
      </c>
      <c r="I40" s="38">
        <v>0.09</v>
      </c>
      <c r="J40" s="97">
        <f>J22 * I40</f>
        <v>2790</v>
      </c>
    </row>
    <row r="41" spans="2:10" x14ac:dyDescent="0.3">
      <c r="B41" s="5"/>
      <c r="C41" s="2"/>
      <c r="D41" s="2"/>
      <c r="E41" s="2"/>
      <c r="F41" s="2"/>
      <c r="G41" s="2"/>
      <c r="H41" s="49" t="s">
        <v>34</v>
      </c>
      <c r="I41" s="87"/>
      <c r="J41" s="98">
        <f>SUM(J22+ J38)</f>
        <v>36580</v>
      </c>
    </row>
    <row r="44" spans="2:10" x14ac:dyDescent="0.3">
      <c r="B44" s="404" t="s">
        <v>36</v>
      </c>
      <c r="C44" s="404"/>
    </row>
    <row r="45" spans="2:10" x14ac:dyDescent="0.3">
      <c r="B45" s="90" t="s">
        <v>37</v>
      </c>
      <c r="C45" s="90"/>
      <c r="D45" t="s">
        <v>41</v>
      </c>
      <c r="H45" s="405" t="e" vm="2">
        <v>#VALUE!</v>
      </c>
      <c r="I45" s="405"/>
      <c r="J45" s="405"/>
    </row>
    <row r="46" spans="2:10" x14ac:dyDescent="0.3">
      <c r="B46" s="90" t="s">
        <v>38</v>
      </c>
      <c r="C46" s="90"/>
      <c r="D46" s="36" t="s">
        <v>42</v>
      </c>
      <c r="H46" s="405"/>
      <c r="I46" s="405"/>
      <c r="J46" s="405"/>
    </row>
    <row r="47" spans="2:10" x14ac:dyDescent="0.3">
      <c r="B47" s="90" t="s">
        <v>39</v>
      </c>
      <c r="C47" s="90"/>
      <c r="D47" t="s">
        <v>44</v>
      </c>
      <c r="H47" s="405"/>
      <c r="I47" s="405"/>
      <c r="J47" s="405"/>
    </row>
    <row r="48" spans="2:10" x14ac:dyDescent="0.3">
      <c r="B48" s="90" t="s">
        <v>40</v>
      </c>
      <c r="C48" s="90"/>
      <c r="D48" t="s">
        <v>43</v>
      </c>
      <c r="J48" s="54" t="s">
        <v>48</v>
      </c>
    </row>
  </sheetData>
  <mergeCells count="21">
    <mergeCell ref="J20:J21"/>
    <mergeCell ref="H45:J47"/>
    <mergeCell ref="C14:E15"/>
    <mergeCell ref="G10:H10"/>
    <mergeCell ref="H6:I6"/>
    <mergeCell ref="H7:I7"/>
    <mergeCell ref="B38:C38"/>
    <mergeCell ref="H38:I38"/>
    <mergeCell ref="B44:C44"/>
    <mergeCell ref="B1:E9"/>
    <mergeCell ref="G1:J2"/>
    <mergeCell ref="B20:B21"/>
    <mergeCell ref="C20:F21"/>
    <mergeCell ref="H4:I4"/>
    <mergeCell ref="H5:I5"/>
    <mergeCell ref="H9:I9"/>
    <mergeCell ref="C22:F24"/>
    <mergeCell ref="D38:G39"/>
    <mergeCell ref="G20:G21"/>
    <mergeCell ref="H20:H21"/>
    <mergeCell ref="I20:I21"/>
  </mergeCells>
  <pageMargins left="0.22" right="0" top="0.75" bottom="0.75"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395D7-5502-40E0-B4E4-1F4D7402ED0F}">
  <dimension ref="A1:K48"/>
  <sheetViews>
    <sheetView showWhiteSpace="0" view="pageBreakPreview" topLeftCell="A6" zoomScaleNormal="190" zoomScaleSheetLayoutView="100" zoomScalePageLayoutView="85" workbookViewId="0">
      <selection activeCell="J38" sqref="J38:K38"/>
    </sheetView>
  </sheetViews>
  <sheetFormatPr defaultColWidth="8.6640625" defaultRowHeight="14.4" x14ac:dyDescent="0.3"/>
  <cols>
    <col min="1" max="1" width="8.6640625" customWidth="1"/>
    <col min="4" max="4" width="8.6640625" customWidth="1"/>
    <col min="5" max="5" width="9" customWidth="1"/>
    <col min="6" max="11" width="8.6640625" customWidth="1"/>
    <col min="12" max="12" width="5.44140625" customWidth="1"/>
  </cols>
  <sheetData>
    <row r="1" spans="1:11" ht="14.25" customHeight="1" x14ac:dyDescent="0.3">
      <c r="A1" s="422" t="e" vm="1">
        <v>#VALUE!</v>
      </c>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406" t="s">
        <v>71</v>
      </c>
      <c r="H4" s="471"/>
      <c r="I4" s="111"/>
      <c r="J4" s="9"/>
      <c r="K4" s="10"/>
    </row>
    <row r="5" spans="1:11" ht="14.4" customHeight="1" x14ac:dyDescent="0.3">
      <c r="A5" s="422"/>
      <c r="B5" s="422"/>
      <c r="C5" s="422"/>
      <c r="D5" s="422"/>
      <c r="E5" s="422"/>
      <c r="G5" s="49" t="s">
        <v>2</v>
      </c>
      <c r="H5" s="456" t="s">
        <v>66</v>
      </c>
      <c r="I5" s="456"/>
      <c r="J5" s="2"/>
      <c r="K5" s="4"/>
    </row>
    <row r="6" spans="1:11" ht="14.25" customHeight="1" x14ac:dyDescent="0.3">
      <c r="A6" s="422"/>
      <c r="B6" s="422"/>
      <c r="C6" s="422"/>
      <c r="D6" s="422"/>
      <c r="E6" s="422"/>
      <c r="G6" s="109" t="s">
        <v>23</v>
      </c>
      <c r="H6" s="452">
        <v>57255055100079</v>
      </c>
      <c r="I6" s="452"/>
      <c r="J6" s="9"/>
      <c r="K6" s="10"/>
    </row>
    <row r="7" spans="1:11" ht="14.4" customHeight="1" x14ac:dyDescent="0.3">
      <c r="A7" s="422"/>
      <c r="B7" s="422"/>
      <c r="C7" s="422"/>
      <c r="D7" s="422"/>
      <c r="E7" s="422"/>
      <c r="G7" s="49" t="s">
        <v>2</v>
      </c>
      <c r="H7" s="469">
        <v>45843</v>
      </c>
      <c r="I7" s="470"/>
      <c r="J7" s="2"/>
      <c r="K7" s="4"/>
    </row>
    <row r="8" spans="1:11" ht="14.4" customHeight="1" x14ac:dyDescent="0.3">
      <c r="A8" s="422"/>
      <c r="B8" s="422"/>
      <c r="C8" s="422"/>
      <c r="D8" s="422"/>
      <c r="E8" s="422"/>
      <c r="G8" s="109" t="s">
        <v>72</v>
      </c>
      <c r="H8" s="111"/>
      <c r="I8" s="125"/>
      <c r="J8" s="9"/>
      <c r="K8" s="10"/>
    </row>
    <row r="9" spans="1:11" ht="14.4" customHeight="1" x14ac:dyDescent="0.3">
      <c r="A9" s="422"/>
      <c r="B9" s="422"/>
      <c r="C9" s="422"/>
      <c r="D9" s="422"/>
      <c r="E9" s="422"/>
      <c r="G9" s="49" t="s">
        <v>2</v>
      </c>
      <c r="H9" s="456" t="s">
        <v>66</v>
      </c>
      <c r="I9" s="456"/>
      <c r="J9" s="2"/>
      <c r="K9" s="4"/>
    </row>
    <row r="10" spans="1:11" x14ac:dyDescent="0.3">
      <c r="A10" s="422"/>
      <c r="B10" s="422"/>
      <c r="C10" s="422"/>
      <c r="D10" s="422"/>
      <c r="E10" s="422"/>
      <c r="F10" s="100"/>
      <c r="G10" s="128" t="s">
        <v>67</v>
      </c>
      <c r="H10" s="129"/>
      <c r="I10" s="60"/>
      <c r="J10" s="130" t="s">
        <v>68</v>
      </c>
      <c r="K10" s="102"/>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111"/>
      <c r="D13" s="111"/>
      <c r="E13" s="122"/>
      <c r="G13" s="109"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47" t="s">
        <v>73</v>
      </c>
      <c r="H16" s="132"/>
      <c r="I16" s="133"/>
      <c r="J16" s="61"/>
      <c r="K16" s="134"/>
    </row>
    <row r="17" spans="1:11" x14ac:dyDescent="0.3">
      <c r="A17" s="136" t="s">
        <v>78</v>
      </c>
      <c r="B17" s="100"/>
      <c r="C17" s="120"/>
      <c r="D17" s="121"/>
      <c r="E17" s="123"/>
      <c r="G17" s="47" t="s">
        <v>8</v>
      </c>
      <c r="H17" s="70" t="s">
        <v>45</v>
      </c>
      <c r="I17" s="61"/>
      <c r="J17" s="61"/>
      <c r="K17" s="134"/>
    </row>
    <row r="18" spans="1:11" ht="14.25" customHeight="1" x14ac:dyDescent="0.3">
      <c r="A18" s="137" t="s">
        <v>79</v>
      </c>
      <c r="B18" s="2"/>
      <c r="C18" s="106"/>
      <c r="D18" s="106"/>
      <c r="E18" s="124"/>
      <c r="G18" s="49" t="s">
        <v>75</v>
      </c>
      <c r="H18" s="2"/>
      <c r="I18" s="106"/>
      <c r="J18" s="2"/>
      <c r="K18" s="4"/>
    </row>
    <row r="20" spans="1:11" x14ac:dyDescent="0.3">
      <c r="A20" s="423" t="s">
        <v>25</v>
      </c>
      <c r="B20" s="467" t="s">
        <v>30</v>
      </c>
      <c r="C20" s="418"/>
      <c r="D20" s="418"/>
      <c r="E20" s="418"/>
      <c r="F20" s="418"/>
      <c r="G20" s="419"/>
      <c r="H20" s="419" t="s">
        <v>29</v>
      </c>
      <c r="I20" s="437" t="s">
        <v>60</v>
      </c>
      <c r="J20" s="437" t="s">
        <v>61</v>
      </c>
      <c r="K20" s="107" t="s">
        <v>26</v>
      </c>
    </row>
    <row r="21" spans="1:11" x14ac:dyDescent="0.3">
      <c r="A21" s="424"/>
      <c r="B21" s="468"/>
      <c r="C21" s="420"/>
      <c r="D21" s="420"/>
      <c r="E21" s="420"/>
      <c r="F21" s="420"/>
      <c r="G21" s="421"/>
      <c r="H21" s="421"/>
      <c r="I21" s="449"/>
      <c r="J21" s="449"/>
      <c r="K21" s="108"/>
    </row>
    <row r="22" spans="1:11" ht="14.4" customHeight="1" x14ac:dyDescent="0.3">
      <c r="A22" s="92">
        <v>1</v>
      </c>
      <c r="B22" s="425" t="s">
        <v>69</v>
      </c>
      <c r="C22" s="472"/>
      <c r="D22" s="472"/>
      <c r="E22" s="472"/>
      <c r="F22" s="472"/>
      <c r="G22" s="473"/>
      <c r="H22" s="142">
        <v>401693</v>
      </c>
      <c r="I22" s="92">
        <v>2</v>
      </c>
      <c r="J22" s="141">
        <v>9450</v>
      </c>
      <c r="K22" s="141">
        <f>SUM(J22*I22)</f>
        <v>18900</v>
      </c>
    </row>
    <row r="23" spans="1:11" x14ac:dyDescent="0.3">
      <c r="A23" s="34"/>
      <c r="B23" s="474"/>
      <c r="C23" s="475"/>
      <c r="D23" s="475"/>
      <c r="E23" s="475"/>
      <c r="F23" s="475"/>
      <c r="G23" s="476"/>
      <c r="H23" s="143"/>
      <c r="I23" s="94"/>
      <c r="J23" s="94"/>
      <c r="K23" s="94"/>
    </row>
    <row r="24" spans="1:11" x14ac:dyDescent="0.3">
      <c r="A24" s="34"/>
      <c r="B24" s="474"/>
      <c r="C24" s="475"/>
      <c r="D24" s="475"/>
      <c r="E24" s="475"/>
      <c r="F24" s="475"/>
      <c r="G24" s="476"/>
      <c r="H24" s="143"/>
      <c r="I24" s="94"/>
      <c r="J24" s="94"/>
      <c r="K24" s="94"/>
    </row>
    <row r="25" spans="1:11" x14ac:dyDescent="0.3">
      <c r="A25" s="34"/>
      <c r="B25" s="474"/>
      <c r="C25" s="475"/>
      <c r="D25" s="475"/>
      <c r="E25" s="475"/>
      <c r="F25" s="475"/>
      <c r="G25" s="476"/>
      <c r="H25" s="143"/>
      <c r="I25" s="94"/>
      <c r="J25" s="94"/>
      <c r="K25" s="94"/>
    </row>
    <row r="26" spans="1:11" x14ac:dyDescent="0.3">
      <c r="A26" s="34"/>
      <c r="B26" s="474"/>
      <c r="C26" s="475"/>
      <c r="D26" s="475"/>
      <c r="E26" s="475"/>
      <c r="F26" s="475"/>
      <c r="G26" s="476"/>
      <c r="H26" s="143"/>
      <c r="I26" s="94"/>
      <c r="J26" s="94"/>
      <c r="K26" s="94"/>
    </row>
    <row r="27" spans="1:11" x14ac:dyDescent="0.3">
      <c r="A27" s="34"/>
      <c r="B27" s="474"/>
      <c r="C27" s="475"/>
      <c r="D27" s="475"/>
      <c r="E27" s="475"/>
      <c r="F27" s="475"/>
      <c r="G27" s="476"/>
      <c r="H27" s="143"/>
      <c r="I27" s="94"/>
      <c r="J27" s="94"/>
      <c r="K27" s="94"/>
    </row>
    <row r="28" spans="1:11" x14ac:dyDescent="0.3">
      <c r="A28" s="34"/>
      <c r="B28" s="474"/>
      <c r="C28" s="475"/>
      <c r="D28" s="475"/>
      <c r="E28" s="475"/>
      <c r="F28" s="475"/>
      <c r="G28" s="476"/>
      <c r="H28" s="143"/>
      <c r="I28" s="94"/>
      <c r="J28" s="94"/>
      <c r="K28" s="94"/>
    </row>
    <row r="29" spans="1:11" x14ac:dyDescent="0.3">
      <c r="A29" s="34"/>
      <c r="B29" s="474"/>
      <c r="C29" s="475"/>
      <c r="D29" s="475"/>
      <c r="E29" s="475"/>
      <c r="F29" s="475"/>
      <c r="G29" s="476"/>
      <c r="H29" s="143"/>
      <c r="I29" s="94"/>
      <c r="J29" s="94"/>
      <c r="K29" s="94"/>
    </row>
    <row r="30" spans="1:11" x14ac:dyDescent="0.3">
      <c r="A30" s="34"/>
      <c r="B30" s="138"/>
      <c r="C30" s="139"/>
      <c r="D30" s="139"/>
      <c r="E30" s="139"/>
      <c r="F30" s="139"/>
      <c r="G30" s="140"/>
      <c r="H30" s="143"/>
      <c r="I30" s="94"/>
      <c r="J30" s="94"/>
      <c r="K30" s="94"/>
    </row>
    <row r="31" spans="1:11" x14ac:dyDescent="0.3">
      <c r="A31" s="34"/>
      <c r="B31" s="138"/>
      <c r="C31" s="139"/>
      <c r="D31" s="139"/>
      <c r="E31" s="139"/>
      <c r="F31" s="139"/>
      <c r="G31" s="140"/>
      <c r="H31" s="143"/>
      <c r="I31" s="94"/>
      <c r="J31" s="94"/>
      <c r="K31" s="94"/>
    </row>
    <row r="32" spans="1:11" x14ac:dyDescent="0.3">
      <c r="A32" s="34"/>
      <c r="B32" s="138"/>
      <c r="C32" s="139"/>
      <c r="D32" s="139"/>
      <c r="E32" s="139"/>
      <c r="F32" s="139"/>
      <c r="G32" s="140"/>
      <c r="H32" s="143"/>
      <c r="I32" s="94"/>
      <c r="J32" s="94"/>
      <c r="K32" s="94"/>
    </row>
    <row r="33" spans="1:11" x14ac:dyDescent="0.3">
      <c r="A33" s="34"/>
      <c r="B33" s="138"/>
      <c r="C33" s="139"/>
      <c r="D33" s="139"/>
      <c r="E33" s="139"/>
      <c r="F33" s="139"/>
      <c r="G33" s="140"/>
      <c r="H33" s="143"/>
      <c r="I33" s="94"/>
      <c r="J33" s="94"/>
      <c r="K33" s="94"/>
    </row>
    <row r="34" spans="1:11" x14ac:dyDescent="0.3">
      <c r="A34" s="34"/>
      <c r="B34" s="138"/>
      <c r="C34" s="139"/>
      <c r="D34" s="139"/>
      <c r="E34" s="139"/>
      <c r="F34" s="139"/>
      <c r="G34" s="140"/>
      <c r="H34" s="143"/>
      <c r="I34" s="94"/>
      <c r="J34" s="94"/>
      <c r="K34" s="94"/>
    </row>
    <row r="35" spans="1:11" x14ac:dyDescent="0.3">
      <c r="A35" s="34"/>
      <c r="B35" s="138"/>
      <c r="C35" s="139"/>
      <c r="D35" s="139"/>
      <c r="E35" s="139"/>
      <c r="F35" s="139"/>
      <c r="G35" s="140"/>
      <c r="H35" s="143"/>
      <c r="I35" s="94"/>
      <c r="J35" s="94"/>
      <c r="K35" s="94"/>
    </row>
    <row r="36" spans="1:11" x14ac:dyDescent="0.3">
      <c r="A36" s="34"/>
      <c r="B36" s="11"/>
      <c r="C36" s="100"/>
      <c r="D36" s="100"/>
      <c r="E36" s="100"/>
      <c r="F36" s="100"/>
      <c r="G36" s="143"/>
      <c r="H36" s="143"/>
      <c r="I36" s="94"/>
      <c r="J36" s="94"/>
      <c r="K36" s="94"/>
    </row>
    <row r="37" spans="1:11" x14ac:dyDescent="0.3">
      <c r="A37" s="34"/>
      <c r="B37" s="5"/>
      <c r="C37" s="2"/>
      <c r="D37" s="2"/>
      <c r="E37" s="2"/>
      <c r="F37" s="2"/>
      <c r="G37" s="144"/>
      <c r="H37" s="143"/>
      <c r="I37" s="95"/>
      <c r="J37" s="95"/>
      <c r="K37" s="95"/>
    </row>
    <row r="38" spans="1:11" ht="14.4" customHeight="1" x14ac:dyDescent="0.3">
      <c r="A38" s="408" t="s">
        <v>35</v>
      </c>
      <c r="B38" s="409"/>
      <c r="C38" s="477" t="s">
        <v>70</v>
      </c>
      <c r="D38" s="477"/>
      <c r="E38" s="477"/>
      <c r="F38" s="477"/>
      <c r="G38" s="478"/>
      <c r="H38" s="406" t="s">
        <v>31</v>
      </c>
      <c r="I38" s="407"/>
      <c r="J38" s="481">
        <f>SUM(J39+J40)</f>
        <v>3402</v>
      </c>
      <c r="K38" s="482"/>
    </row>
    <row r="39" spans="1:11" x14ac:dyDescent="0.3">
      <c r="A39" s="11"/>
      <c r="B39" s="100"/>
      <c r="C39" s="479"/>
      <c r="D39" s="479"/>
      <c r="E39" s="479"/>
      <c r="F39" s="479"/>
      <c r="G39" s="480"/>
      <c r="H39" s="50" t="s">
        <v>32</v>
      </c>
      <c r="I39" s="38">
        <v>0.09</v>
      </c>
      <c r="J39" s="481">
        <f>K22 * I39</f>
        <v>1701</v>
      </c>
      <c r="K39" s="482"/>
    </row>
    <row r="40" spans="1:11" x14ac:dyDescent="0.3">
      <c r="A40" s="11"/>
      <c r="B40" s="100"/>
      <c r="C40" s="100"/>
      <c r="D40" s="100"/>
      <c r="E40" s="100"/>
      <c r="F40" s="100"/>
      <c r="G40" s="134"/>
      <c r="H40" s="50" t="s">
        <v>33</v>
      </c>
      <c r="I40" s="38">
        <v>0.09</v>
      </c>
      <c r="J40" s="481">
        <f>K22 * I40</f>
        <v>1701</v>
      </c>
      <c r="K40" s="482"/>
    </row>
    <row r="41" spans="1:11" x14ac:dyDescent="0.3">
      <c r="A41" s="5"/>
      <c r="B41" s="2"/>
      <c r="C41" s="2"/>
      <c r="D41" s="2"/>
      <c r="E41" s="2"/>
      <c r="F41" s="2"/>
      <c r="G41" s="4"/>
      <c r="H41" s="49" t="s">
        <v>34</v>
      </c>
      <c r="I41" s="105"/>
      <c r="J41" s="483">
        <f>SUM(K22+ J38)</f>
        <v>22302</v>
      </c>
      <c r="K41" s="484"/>
    </row>
    <row r="44" spans="1:11" x14ac:dyDescent="0.3">
      <c r="A44" s="110" t="s">
        <v>36</v>
      </c>
      <c r="B44" s="110"/>
    </row>
    <row r="45" spans="1:11" x14ac:dyDescent="0.3">
      <c r="A45" s="110" t="s">
        <v>37</v>
      </c>
      <c r="B45" s="110"/>
      <c r="C45" t="s">
        <v>41</v>
      </c>
      <c r="I45" s="405" t="e" vm="2">
        <v>#VALUE!</v>
      </c>
      <c r="J45" s="405"/>
      <c r="K45" s="405"/>
    </row>
    <row r="46" spans="1:11" x14ac:dyDescent="0.3">
      <c r="A46" s="110" t="s">
        <v>38</v>
      </c>
      <c r="B46" s="110"/>
      <c r="C46" s="36" t="s">
        <v>42</v>
      </c>
      <c r="H46" s="119"/>
      <c r="I46" s="405"/>
      <c r="J46" s="405"/>
      <c r="K46" s="405"/>
    </row>
    <row r="47" spans="1:11" x14ac:dyDescent="0.3">
      <c r="A47" s="110" t="s">
        <v>39</v>
      </c>
      <c r="B47" s="110"/>
      <c r="C47" t="s">
        <v>44</v>
      </c>
      <c r="H47" s="119"/>
      <c r="I47" s="405"/>
      <c r="J47" s="405"/>
      <c r="K47" s="405"/>
    </row>
    <row r="48" spans="1:11" x14ac:dyDescent="0.3">
      <c r="A48" s="110" t="s">
        <v>40</v>
      </c>
      <c r="B48" s="110"/>
      <c r="C48" t="s">
        <v>43</v>
      </c>
      <c r="J48" s="54" t="s">
        <v>48</v>
      </c>
    </row>
  </sheetData>
  <mergeCells count="25">
    <mergeCell ref="B22:G29"/>
    <mergeCell ref="I45:K47"/>
    <mergeCell ref="A38:B38"/>
    <mergeCell ref="C38:G39"/>
    <mergeCell ref="A20:A21"/>
    <mergeCell ref="I20:I21"/>
    <mergeCell ref="H38:I38"/>
    <mergeCell ref="J38:K38"/>
    <mergeCell ref="J39:K39"/>
    <mergeCell ref="J40:K40"/>
    <mergeCell ref="J41:K41"/>
    <mergeCell ref="H5:I5"/>
    <mergeCell ref="H6:I6"/>
    <mergeCell ref="H7:I7"/>
    <mergeCell ref="H9:I9"/>
    <mergeCell ref="A1:E10"/>
    <mergeCell ref="G4:H4"/>
    <mergeCell ref="G1:K2"/>
    <mergeCell ref="A12:E12"/>
    <mergeCell ref="G12:K12"/>
    <mergeCell ref="G14:K15"/>
    <mergeCell ref="A14:E15"/>
    <mergeCell ref="H20:H21"/>
    <mergeCell ref="J20:J21"/>
    <mergeCell ref="B20:G21"/>
  </mergeCells>
  <printOptions horizontalCentered="1" verticalCentered="1"/>
  <pageMargins left="0.25" right="0.25"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D3A-D4B1-4F0D-AF7D-2F4BE101C58F}">
  <dimension ref="A1:K48"/>
  <sheetViews>
    <sheetView showWhiteSpace="0" view="pageBreakPreview" zoomScale="85" zoomScaleNormal="190" zoomScaleSheetLayoutView="85" zoomScalePageLayoutView="85" workbookViewId="0">
      <selection activeCell="J10" sqref="J10"/>
    </sheetView>
  </sheetViews>
  <sheetFormatPr defaultColWidth="8.6640625" defaultRowHeight="14.4" x14ac:dyDescent="0.3"/>
  <cols>
    <col min="1" max="1" width="8.6640625" customWidth="1"/>
    <col min="4" max="4" width="8.6640625" customWidth="1"/>
    <col min="5" max="5" width="9" customWidth="1"/>
    <col min="6" max="11" width="8.6640625" customWidth="1"/>
    <col min="12" max="12" width="5.44140625" customWidth="1"/>
  </cols>
  <sheetData>
    <row r="1" spans="1:11" ht="14.25" customHeight="1" x14ac:dyDescent="0.3">
      <c r="A1" s="422" t="e" vm="1">
        <v>#VALUE!</v>
      </c>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406" t="s">
        <v>81</v>
      </c>
      <c r="H4" s="471"/>
      <c r="I4" s="118"/>
      <c r="J4" s="9"/>
      <c r="K4" s="10"/>
    </row>
    <row r="5" spans="1:11" ht="14.4" customHeight="1" x14ac:dyDescent="0.3">
      <c r="A5" s="422"/>
      <c r="B5" s="422"/>
      <c r="C5" s="422"/>
      <c r="D5" s="422"/>
      <c r="E5" s="422"/>
      <c r="G5" s="49" t="s">
        <v>2</v>
      </c>
      <c r="H5" s="456">
        <v>45907</v>
      </c>
      <c r="I5" s="456"/>
      <c r="J5" s="2"/>
      <c r="K5" s="4"/>
    </row>
    <row r="6" spans="1:11" ht="14.25" customHeight="1" x14ac:dyDescent="0.3">
      <c r="A6" s="422"/>
      <c r="B6" s="422"/>
      <c r="C6" s="422"/>
      <c r="D6" s="422"/>
      <c r="E6" s="422"/>
      <c r="G6" s="113" t="s">
        <v>23</v>
      </c>
      <c r="H6" s="452">
        <v>55255595100904</v>
      </c>
      <c r="I6" s="452"/>
      <c r="J6" s="9"/>
      <c r="K6" s="10"/>
    </row>
    <row r="7" spans="1:11" ht="14.4" customHeight="1" x14ac:dyDescent="0.3">
      <c r="A7" s="422"/>
      <c r="B7" s="422"/>
      <c r="C7" s="422"/>
      <c r="D7" s="422"/>
      <c r="E7" s="422"/>
      <c r="G7" s="49" t="s">
        <v>2</v>
      </c>
      <c r="H7" s="469">
        <v>45754</v>
      </c>
      <c r="I7" s="470"/>
      <c r="J7" s="2"/>
      <c r="K7" s="4"/>
    </row>
    <row r="8" spans="1:11" ht="14.4" customHeight="1" x14ac:dyDescent="0.3">
      <c r="A8" s="422"/>
      <c r="B8" s="422"/>
      <c r="C8" s="422"/>
      <c r="D8" s="422"/>
      <c r="E8" s="422"/>
      <c r="G8" s="113" t="s">
        <v>82</v>
      </c>
      <c r="H8" s="118"/>
      <c r="I8" s="125"/>
      <c r="J8" s="9"/>
      <c r="K8" s="10"/>
    </row>
    <row r="9" spans="1:11" ht="14.4" customHeight="1" x14ac:dyDescent="0.3">
      <c r="A9" s="422"/>
      <c r="B9" s="422"/>
      <c r="C9" s="422"/>
      <c r="D9" s="422"/>
      <c r="E9" s="422"/>
      <c r="G9" s="49" t="s">
        <v>2</v>
      </c>
      <c r="H9" s="456">
        <v>45907</v>
      </c>
      <c r="I9" s="456"/>
      <c r="J9" s="2"/>
      <c r="K9" s="4"/>
    </row>
    <row r="10" spans="1:11" x14ac:dyDescent="0.3">
      <c r="A10" s="422"/>
      <c r="B10" s="422"/>
      <c r="C10" s="422"/>
      <c r="D10" s="422"/>
      <c r="E10" s="422"/>
      <c r="F10" s="100"/>
      <c r="G10" s="128" t="s">
        <v>83</v>
      </c>
      <c r="H10" s="129"/>
      <c r="I10" s="60"/>
      <c r="J10" s="130" t="s">
        <v>86</v>
      </c>
      <c r="K10" s="102"/>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118"/>
      <c r="D13" s="118"/>
      <c r="E13" s="122"/>
      <c r="G13" s="113"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47" t="s">
        <v>73</v>
      </c>
      <c r="H16" s="132"/>
      <c r="I16" s="133"/>
      <c r="J16" s="61"/>
      <c r="K16" s="134"/>
    </row>
    <row r="17" spans="1:11" x14ac:dyDescent="0.3">
      <c r="A17" s="136" t="s">
        <v>78</v>
      </c>
      <c r="B17" s="100"/>
      <c r="C17" s="120"/>
      <c r="D17" s="121"/>
      <c r="E17" s="123"/>
      <c r="G17" s="47" t="s">
        <v>8</v>
      </c>
      <c r="H17" s="70" t="s">
        <v>45</v>
      </c>
      <c r="I17" s="61"/>
      <c r="J17" s="61"/>
      <c r="K17" s="134"/>
    </row>
    <row r="18" spans="1:11" ht="14.25" customHeight="1" x14ac:dyDescent="0.3">
      <c r="A18" s="137" t="s">
        <v>79</v>
      </c>
      <c r="B18" s="2"/>
      <c r="C18" s="116"/>
      <c r="D18" s="116"/>
      <c r="E18" s="124"/>
      <c r="G18" s="49" t="s">
        <v>75</v>
      </c>
      <c r="H18" s="2"/>
      <c r="I18" s="116"/>
      <c r="J18" s="2"/>
      <c r="K18" s="4"/>
    </row>
    <row r="20" spans="1:11" x14ac:dyDescent="0.3">
      <c r="A20" s="423" t="s">
        <v>25</v>
      </c>
      <c r="B20" s="467" t="s">
        <v>30</v>
      </c>
      <c r="C20" s="418"/>
      <c r="D20" s="418"/>
      <c r="E20" s="418"/>
      <c r="F20" s="418"/>
      <c r="G20" s="419"/>
      <c r="H20" s="419" t="s">
        <v>29</v>
      </c>
      <c r="I20" s="437" t="s">
        <v>60</v>
      </c>
      <c r="J20" s="437" t="s">
        <v>61</v>
      </c>
      <c r="K20" s="114" t="s">
        <v>26</v>
      </c>
    </row>
    <row r="21" spans="1:11" x14ac:dyDescent="0.3">
      <c r="A21" s="424"/>
      <c r="B21" s="468"/>
      <c r="C21" s="420"/>
      <c r="D21" s="420"/>
      <c r="E21" s="420"/>
      <c r="F21" s="420"/>
      <c r="G21" s="421"/>
      <c r="H21" s="421"/>
      <c r="I21" s="449"/>
      <c r="J21" s="449"/>
      <c r="K21" s="115"/>
    </row>
    <row r="22" spans="1:11" ht="14.4" customHeight="1" x14ac:dyDescent="0.3">
      <c r="A22" s="92">
        <v>1</v>
      </c>
      <c r="B22" s="425" t="s">
        <v>84</v>
      </c>
      <c r="C22" s="472"/>
      <c r="D22" s="472"/>
      <c r="E22" s="472"/>
      <c r="F22" s="472"/>
      <c r="G22" s="473"/>
      <c r="H22" s="142">
        <v>8484</v>
      </c>
      <c r="I22" s="92">
        <v>1</v>
      </c>
      <c r="J22" s="141">
        <v>10700</v>
      </c>
      <c r="K22" s="141">
        <f>SUM(J22*I22)</f>
        <v>10700</v>
      </c>
    </row>
    <row r="23" spans="1:11" x14ac:dyDescent="0.3">
      <c r="A23" s="34"/>
      <c r="B23" s="474"/>
      <c r="C23" s="475"/>
      <c r="D23" s="475"/>
      <c r="E23" s="475"/>
      <c r="F23" s="475"/>
      <c r="G23" s="476"/>
      <c r="H23" s="143"/>
      <c r="I23" s="94"/>
      <c r="J23" s="94"/>
      <c r="K23" s="94"/>
    </row>
    <row r="24" spans="1:11" x14ac:dyDescent="0.3">
      <c r="A24" s="34"/>
      <c r="B24" s="474"/>
      <c r="C24" s="475"/>
      <c r="D24" s="475"/>
      <c r="E24" s="475"/>
      <c r="F24" s="475"/>
      <c r="G24" s="476"/>
      <c r="H24" s="143"/>
      <c r="I24" s="94"/>
      <c r="J24" s="94"/>
      <c r="K24" s="94"/>
    </row>
    <row r="25" spans="1:11" x14ac:dyDescent="0.3">
      <c r="A25" s="34"/>
      <c r="B25" s="474"/>
      <c r="C25" s="475"/>
      <c r="D25" s="475"/>
      <c r="E25" s="475"/>
      <c r="F25" s="475"/>
      <c r="G25" s="476"/>
      <c r="H25" s="143"/>
      <c r="I25" s="94"/>
      <c r="J25" s="94"/>
      <c r="K25" s="94"/>
    </row>
    <row r="26" spans="1:11" x14ac:dyDescent="0.3">
      <c r="A26" s="34"/>
      <c r="B26" s="474"/>
      <c r="C26" s="475"/>
      <c r="D26" s="475"/>
      <c r="E26" s="475"/>
      <c r="F26" s="475"/>
      <c r="G26" s="476"/>
      <c r="H26" s="143"/>
      <c r="I26" s="94"/>
      <c r="J26" s="94"/>
      <c r="K26" s="94"/>
    </row>
    <row r="27" spans="1:11" x14ac:dyDescent="0.3">
      <c r="A27" s="34"/>
      <c r="B27" s="474"/>
      <c r="C27" s="475"/>
      <c r="D27" s="475"/>
      <c r="E27" s="475"/>
      <c r="F27" s="475"/>
      <c r="G27" s="476"/>
      <c r="H27" s="143"/>
      <c r="I27" s="94"/>
      <c r="J27" s="94"/>
      <c r="K27" s="94"/>
    </row>
    <row r="28" spans="1:11" x14ac:dyDescent="0.3">
      <c r="A28" s="34"/>
      <c r="B28" s="474"/>
      <c r="C28" s="475"/>
      <c r="D28" s="475"/>
      <c r="E28" s="475"/>
      <c r="F28" s="475"/>
      <c r="G28" s="476"/>
      <c r="H28" s="143"/>
      <c r="I28" s="94"/>
      <c r="J28" s="94"/>
      <c r="K28" s="94"/>
    </row>
    <row r="29" spans="1:11" x14ac:dyDescent="0.3">
      <c r="A29" s="34"/>
      <c r="B29" s="474"/>
      <c r="C29" s="475"/>
      <c r="D29" s="475"/>
      <c r="E29" s="475"/>
      <c r="F29" s="475"/>
      <c r="G29" s="476"/>
      <c r="H29" s="143"/>
      <c r="I29" s="94"/>
      <c r="J29" s="94"/>
      <c r="K29" s="94"/>
    </row>
    <row r="30" spans="1:11" x14ac:dyDescent="0.3">
      <c r="A30" s="34"/>
      <c r="B30" s="138"/>
      <c r="C30" s="139"/>
      <c r="D30" s="139"/>
      <c r="E30" s="139"/>
      <c r="F30" s="139"/>
      <c r="G30" s="140"/>
      <c r="H30" s="143"/>
      <c r="I30" s="94"/>
      <c r="J30" s="94"/>
      <c r="K30" s="94"/>
    </row>
    <row r="31" spans="1:11" x14ac:dyDescent="0.3">
      <c r="A31" s="34"/>
      <c r="B31" s="138"/>
      <c r="C31" s="139"/>
      <c r="D31" s="139"/>
      <c r="E31" s="139"/>
      <c r="F31" s="139"/>
      <c r="G31" s="140"/>
      <c r="H31" s="143"/>
      <c r="I31" s="94"/>
      <c r="J31" s="94"/>
      <c r="K31" s="94"/>
    </row>
    <row r="32" spans="1:11" x14ac:dyDescent="0.3">
      <c r="A32" s="34"/>
      <c r="B32" s="138"/>
      <c r="C32" s="139"/>
      <c r="D32" s="139"/>
      <c r="E32" s="139"/>
      <c r="F32" s="139"/>
      <c r="G32" s="140"/>
      <c r="H32" s="143"/>
      <c r="I32" s="94"/>
      <c r="J32" s="94"/>
      <c r="K32" s="94"/>
    </row>
    <row r="33" spans="1:11" x14ac:dyDescent="0.3">
      <c r="A33" s="34"/>
      <c r="B33" s="138"/>
      <c r="C33" s="139"/>
      <c r="D33" s="139"/>
      <c r="E33" s="139"/>
      <c r="F33" s="139"/>
      <c r="G33" s="140"/>
      <c r="H33" s="143"/>
      <c r="I33" s="94"/>
      <c r="J33" s="94"/>
      <c r="K33" s="94"/>
    </row>
    <row r="34" spans="1:11" x14ac:dyDescent="0.3">
      <c r="A34" s="34"/>
      <c r="B34" s="138"/>
      <c r="C34" s="139"/>
      <c r="D34" s="139"/>
      <c r="E34" s="139"/>
      <c r="F34" s="139"/>
      <c r="G34" s="140"/>
      <c r="H34" s="143"/>
      <c r="I34" s="94"/>
      <c r="J34" s="94"/>
      <c r="K34" s="94"/>
    </row>
    <row r="35" spans="1:11" x14ac:dyDescent="0.3">
      <c r="A35" s="34"/>
      <c r="B35" s="138"/>
      <c r="C35" s="139"/>
      <c r="D35" s="139"/>
      <c r="E35" s="139"/>
      <c r="F35" s="139"/>
      <c r="G35" s="140"/>
      <c r="H35" s="143"/>
      <c r="I35" s="94"/>
      <c r="J35" s="94"/>
      <c r="K35" s="94"/>
    </row>
    <row r="36" spans="1:11" x14ac:dyDescent="0.3">
      <c r="A36" s="34"/>
      <c r="B36" s="11"/>
      <c r="C36" s="100"/>
      <c r="D36" s="100"/>
      <c r="E36" s="100"/>
      <c r="F36" s="100"/>
      <c r="G36" s="143"/>
      <c r="H36" s="143"/>
      <c r="I36" s="94"/>
      <c r="J36" s="94"/>
      <c r="K36" s="94"/>
    </row>
    <row r="37" spans="1:11" x14ac:dyDescent="0.3">
      <c r="A37" s="34"/>
      <c r="B37" s="5"/>
      <c r="C37" s="2"/>
      <c r="D37" s="2"/>
      <c r="E37" s="2"/>
      <c r="F37" s="2"/>
      <c r="G37" s="144"/>
      <c r="H37" s="143"/>
      <c r="I37" s="95"/>
      <c r="J37" s="95"/>
      <c r="K37" s="95"/>
    </row>
    <row r="38" spans="1:11" ht="14.4" customHeight="1" x14ac:dyDescent="0.3">
      <c r="A38" s="408" t="s">
        <v>35</v>
      </c>
      <c r="B38" s="409"/>
      <c r="C38" s="477" t="s">
        <v>85</v>
      </c>
      <c r="D38" s="477"/>
      <c r="E38" s="477"/>
      <c r="F38" s="477"/>
      <c r="G38" s="478"/>
      <c r="H38" s="406" t="s">
        <v>31</v>
      </c>
      <c r="I38" s="407"/>
      <c r="J38" s="489">
        <f xml:space="preserve"> +SUM(K22+0)</f>
        <v>10700</v>
      </c>
      <c r="K38" s="490"/>
    </row>
    <row r="39" spans="1:11" x14ac:dyDescent="0.3">
      <c r="A39" s="11"/>
      <c r="B39" s="100"/>
      <c r="C39" s="479"/>
      <c r="D39" s="479"/>
      <c r="E39" s="479"/>
      <c r="F39" s="479"/>
      <c r="G39" s="480"/>
      <c r="H39" s="50" t="s">
        <v>32</v>
      </c>
      <c r="I39" s="38">
        <v>0.09</v>
      </c>
      <c r="J39" s="485">
        <f>K22 * I39</f>
        <v>963</v>
      </c>
      <c r="K39" s="486"/>
    </row>
    <row r="40" spans="1:11" x14ac:dyDescent="0.3">
      <c r="A40" s="11"/>
      <c r="B40" s="100"/>
      <c r="C40" s="100"/>
      <c r="D40" s="100"/>
      <c r="E40" s="100"/>
      <c r="F40" s="100"/>
      <c r="G40" s="134"/>
      <c r="H40" s="50" t="s">
        <v>33</v>
      </c>
      <c r="I40" s="38">
        <v>0.09</v>
      </c>
      <c r="J40" s="485">
        <f>K22 * I40</f>
        <v>963</v>
      </c>
      <c r="K40" s="486"/>
    </row>
    <row r="41" spans="1:11" x14ac:dyDescent="0.3">
      <c r="A41" s="5"/>
      <c r="B41" s="2"/>
      <c r="C41" s="2"/>
      <c r="D41" s="2"/>
      <c r="E41" s="2"/>
      <c r="F41" s="2"/>
      <c r="G41" s="4"/>
      <c r="H41" s="49" t="s">
        <v>34</v>
      </c>
      <c r="I41" s="117"/>
      <c r="J41" s="487">
        <f>+SUM(J38+J39+J40)</f>
        <v>12626</v>
      </c>
      <c r="K41" s="488"/>
    </row>
    <row r="44" spans="1:11" x14ac:dyDescent="0.3">
      <c r="A44" s="112" t="s">
        <v>36</v>
      </c>
      <c r="B44" s="112"/>
    </row>
    <row r="45" spans="1:11" x14ac:dyDescent="0.3">
      <c r="A45" s="112" t="s">
        <v>37</v>
      </c>
      <c r="B45" s="112"/>
      <c r="C45" t="s">
        <v>41</v>
      </c>
      <c r="I45" s="405" t="e" vm="2">
        <v>#VALUE!</v>
      </c>
      <c r="J45" s="405"/>
      <c r="K45" s="405"/>
    </row>
    <row r="46" spans="1:11" x14ac:dyDescent="0.3">
      <c r="A46" s="112" t="s">
        <v>38</v>
      </c>
      <c r="B46" s="112"/>
      <c r="C46" s="36" t="s">
        <v>42</v>
      </c>
      <c r="H46" s="119"/>
      <c r="I46" s="405"/>
      <c r="J46" s="405"/>
      <c r="K46" s="405"/>
    </row>
    <row r="47" spans="1:11" x14ac:dyDescent="0.3">
      <c r="A47" s="112" t="s">
        <v>39</v>
      </c>
      <c r="B47" s="112"/>
      <c r="C47" t="s">
        <v>44</v>
      </c>
      <c r="H47" s="119"/>
      <c r="I47" s="405"/>
      <c r="J47" s="405"/>
      <c r="K47" s="405"/>
    </row>
    <row r="48" spans="1:11" x14ac:dyDescent="0.3">
      <c r="A48" s="112" t="s">
        <v>40</v>
      </c>
      <c r="B48" s="112"/>
      <c r="C48" t="s">
        <v>43</v>
      </c>
      <c r="J48" s="54" t="s">
        <v>48</v>
      </c>
    </row>
  </sheetData>
  <mergeCells count="25">
    <mergeCell ref="A1:E10"/>
    <mergeCell ref="G1:K2"/>
    <mergeCell ref="G4:H4"/>
    <mergeCell ref="H5:I5"/>
    <mergeCell ref="H6:I6"/>
    <mergeCell ref="H7:I7"/>
    <mergeCell ref="H9:I9"/>
    <mergeCell ref="A12:E12"/>
    <mergeCell ref="G12:K12"/>
    <mergeCell ref="A14:E15"/>
    <mergeCell ref="G14:K15"/>
    <mergeCell ref="A20:A21"/>
    <mergeCell ref="B20:G21"/>
    <mergeCell ref="H20:H21"/>
    <mergeCell ref="I20:I21"/>
    <mergeCell ref="J20:J21"/>
    <mergeCell ref="J40:K40"/>
    <mergeCell ref="J41:K41"/>
    <mergeCell ref="I45:K47"/>
    <mergeCell ref="B22:G29"/>
    <mergeCell ref="A38:B38"/>
    <mergeCell ref="C38:G39"/>
    <mergeCell ref="H38:I38"/>
    <mergeCell ref="J38:K38"/>
    <mergeCell ref="J39:K39"/>
  </mergeCells>
  <printOptions horizontalCentered="1" verticalCentered="1"/>
  <pageMargins left="0.25" right="0.25" top="0.75" bottom="0.75" header="0.3" footer="0.3"/>
  <pageSetup paperSize="9"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6B434-510B-40B4-8D98-D5F35C09E057}">
  <sheetPr>
    <pageSetUpPr fitToPage="1"/>
  </sheetPr>
  <dimension ref="A1:K48"/>
  <sheetViews>
    <sheetView showWhiteSpace="0" view="pageBreakPreview" topLeftCell="A10" zoomScaleNormal="190" zoomScaleSheetLayoutView="100" zoomScalePageLayoutView="85" workbookViewId="0">
      <selection activeCell="H10" sqref="H10"/>
    </sheetView>
  </sheetViews>
  <sheetFormatPr defaultColWidth="8.6640625" defaultRowHeight="14.4" x14ac:dyDescent="0.3"/>
  <cols>
    <col min="1" max="1" width="8.6640625" customWidth="1"/>
    <col min="4" max="4" width="8.6640625" customWidth="1"/>
    <col min="5" max="5" width="9" customWidth="1"/>
    <col min="6" max="11" width="8.6640625" customWidth="1"/>
    <col min="12" max="12" width="5.44140625" customWidth="1"/>
  </cols>
  <sheetData>
    <row r="1" spans="1:11" ht="14.25" customHeight="1" x14ac:dyDescent="0.3">
      <c r="A1" s="422" t="e" vm="1">
        <v>#VALUE!</v>
      </c>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406" t="s">
        <v>87</v>
      </c>
      <c r="H4" s="471"/>
      <c r="I4" s="151"/>
      <c r="J4" s="9"/>
      <c r="K4" s="10"/>
    </row>
    <row r="5" spans="1:11" ht="14.4" customHeight="1" x14ac:dyDescent="0.3">
      <c r="A5" s="422"/>
      <c r="B5" s="422"/>
      <c r="C5" s="422"/>
      <c r="D5" s="422"/>
      <c r="E5" s="422"/>
      <c r="G5" s="49" t="s">
        <v>2</v>
      </c>
      <c r="H5" s="456" t="s">
        <v>88</v>
      </c>
      <c r="I5" s="456"/>
      <c r="J5" s="2"/>
      <c r="K5" s="4"/>
    </row>
    <row r="6" spans="1:11" ht="14.25" customHeight="1" x14ac:dyDescent="0.3">
      <c r="A6" s="422"/>
      <c r="B6" s="422"/>
      <c r="C6" s="422"/>
      <c r="D6" s="422"/>
      <c r="E6" s="422"/>
      <c r="G6" s="146" t="s">
        <v>23</v>
      </c>
      <c r="H6" s="452">
        <v>55255724101104</v>
      </c>
      <c r="I6" s="452"/>
      <c r="J6" s="9"/>
      <c r="K6" s="10"/>
    </row>
    <row r="7" spans="1:11" ht="14.4" customHeight="1" x14ac:dyDescent="0.3">
      <c r="A7" s="422"/>
      <c r="B7" s="422"/>
      <c r="C7" s="422"/>
      <c r="D7" s="422"/>
      <c r="E7" s="422"/>
      <c r="G7" s="49" t="s">
        <v>2</v>
      </c>
      <c r="H7" s="469">
        <v>45846</v>
      </c>
      <c r="I7" s="470"/>
      <c r="J7" s="2"/>
      <c r="K7" s="4"/>
    </row>
    <row r="8" spans="1:11" ht="14.4" customHeight="1" x14ac:dyDescent="0.3">
      <c r="A8" s="422"/>
      <c r="B8" s="422"/>
      <c r="C8" s="422"/>
      <c r="D8" s="422"/>
      <c r="E8" s="422"/>
      <c r="G8" s="146" t="s">
        <v>89</v>
      </c>
      <c r="H8" s="151"/>
      <c r="I8" s="125"/>
      <c r="J8" s="9"/>
      <c r="K8" s="10"/>
    </row>
    <row r="9" spans="1:11" ht="14.4" customHeight="1" x14ac:dyDescent="0.3">
      <c r="A9" s="422"/>
      <c r="B9" s="422"/>
      <c r="C9" s="422"/>
      <c r="D9" s="422"/>
      <c r="E9" s="422"/>
      <c r="G9" s="49" t="s">
        <v>2</v>
      </c>
      <c r="H9" s="456" t="s">
        <v>88</v>
      </c>
      <c r="I9" s="456"/>
      <c r="J9" s="2"/>
      <c r="K9" s="4"/>
    </row>
    <row r="10" spans="1:11" x14ac:dyDescent="0.3">
      <c r="A10" s="422"/>
      <c r="B10" s="422"/>
      <c r="C10" s="422"/>
      <c r="D10" s="422"/>
      <c r="E10" s="422"/>
      <c r="F10" s="100"/>
      <c r="G10" s="128" t="s">
        <v>105</v>
      </c>
      <c r="H10" s="129"/>
      <c r="I10" s="60"/>
      <c r="J10" s="130" t="s">
        <v>106</v>
      </c>
      <c r="K10" s="102"/>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151"/>
      <c r="D13" s="151"/>
      <c r="E13" s="122"/>
      <c r="G13" s="146"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47" t="s">
        <v>73</v>
      </c>
      <c r="H16" s="132"/>
      <c r="I16" s="133"/>
      <c r="J16" s="61"/>
      <c r="K16" s="134"/>
    </row>
    <row r="17" spans="1:11" x14ac:dyDescent="0.3">
      <c r="A17" s="136" t="s">
        <v>78</v>
      </c>
      <c r="B17" s="100"/>
      <c r="C17" s="120"/>
      <c r="D17" s="121"/>
      <c r="E17" s="123"/>
      <c r="G17" s="47" t="s">
        <v>8</v>
      </c>
      <c r="H17" s="70" t="s">
        <v>45</v>
      </c>
      <c r="I17" s="61"/>
      <c r="J17" s="61"/>
      <c r="K17" s="134"/>
    </row>
    <row r="18" spans="1:11" ht="14.25" customHeight="1" x14ac:dyDescent="0.3">
      <c r="A18" s="137" t="s">
        <v>79</v>
      </c>
      <c r="B18" s="2"/>
      <c r="C18" s="149"/>
      <c r="D18" s="149"/>
      <c r="E18" s="124"/>
      <c r="G18" s="49" t="s">
        <v>75</v>
      </c>
      <c r="H18" s="2"/>
      <c r="I18" s="149"/>
      <c r="J18" s="2"/>
      <c r="K18" s="4"/>
    </row>
    <row r="20" spans="1:11" x14ac:dyDescent="0.3">
      <c r="A20" s="423" t="s">
        <v>25</v>
      </c>
      <c r="B20" s="467" t="s">
        <v>30</v>
      </c>
      <c r="C20" s="418"/>
      <c r="D20" s="418"/>
      <c r="E20" s="418"/>
      <c r="F20" s="418"/>
      <c r="G20" s="419"/>
      <c r="H20" s="419" t="s">
        <v>29</v>
      </c>
      <c r="I20" s="437" t="s">
        <v>93</v>
      </c>
      <c r="J20" s="437" t="s">
        <v>95</v>
      </c>
      <c r="K20" s="147" t="s">
        <v>26</v>
      </c>
    </row>
    <row r="21" spans="1:11" x14ac:dyDescent="0.3">
      <c r="A21" s="424"/>
      <c r="B21" s="468"/>
      <c r="C21" s="420"/>
      <c r="D21" s="420"/>
      <c r="E21" s="420"/>
      <c r="F21" s="420"/>
      <c r="G21" s="421"/>
      <c r="H21" s="421"/>
      <c r="I21" s="449"/>
      <c r="J21" s="449"/>
      <c r="K21" s="148"/>
    </row>
    <row r="22" spans="1:11" ht="14.4" customHeight="1" x14ac:dyDescent="0.3">
      <c r="A22" s="92">
        <v>1</v>
      </c>
      <c r="B22" s="425" t="s">
        <v>92</v>
      </c>
      <c r="C22" s="472"/>
      <c r="D22" s="472"/>
      <c r="E22" s="472"/>
      <c r="F22" s="472"/>
      <c r="G22" s="473"/>
      <c r="H22" s="142">
        <v>4009</v>
      </c>
      <c r="I22" s="92">
        <v>310</v>
      </c>
      <c r="J22" s="160">
        <v>348</v>
      </c>
      <c r="K22" s="159">
        <f>SUM(J22*I22)</f>
        <v>107880</v>
      </c>
    </row>
    <row r="23" spans="1:11" x14ac:dyDescent="0.3">
      <c r="A23" s="34"/>
      <c r="B23" s="474"/>
      <c r="C23" s="475"/>
      <c r="D23" s="475"/>
      <c r="E23" s="475"/>
      <c r="F23" s="475"/>
      <c r="G23" s="476"/>
      <c r="H23" s="143"/>
      <c r="I23" s="94"/>
      <c r="J23" s="94"/>
      <c r="K23" s="94"/>
    </row>
    <row r="24" spans="1:11" x14ac:dyDescent="0.3">
      <c r="A24" s="34"/>
      <c r="B24" s="474"/>
      <c r="C24" s="475"/>
      <c r="D24" s="475"/>
      <c r="E24" s="475"/>
      <c r="F24" s="475"/>
      <c r="G24" s="476"/>
      <c r="H24" s="143"/>
      <c r="I24" s="94"/>
      <c r="J24" s="94"/>
      <c r="K24" s="94"/>
    </row>
    <row r="25" spans="1:11" x14ac:dyDescent="0.3">
      <c r="A25" s="34"/>
      <c r="B25" s="474"/>
      <c r="C25" s="475"/>
      <c r="D25" s="475"/>
      <c r="E25" s="475"/>
      <c r="F25" s="475"/>
      <c r="G25" s="476"/>
      <c r="H25" s="143"/>
      <c r="I25" s="94"/>
      <c r="J25" s="94"/>
      <c r="K25" s="94"/>
    </row>
    <row r="26" spans="1:11" x14ac:dyDescent="0.3">
      <c r="A26" s="34"/>
      <c r="B26" s="474"/>
      <c r="C26" s="475"/>
      <c r="D26" s="475"/>
      <c r="E26" s="475"/>
      <c r="F26" s="475"/>
      <c r="G26" s="476"/>
      <c r="H26" s="143"/>
      <c r="I26" s="94"/>
      <c r="J26" s="94"/>
      <c r="K26" s="94"/>
    </row>
    <row r="27" spans="1:11" x14ac:dyDescent="0.3">
      <c r="A27" s="34"/>
      <c r="B27" s="474"/>
      <c r="C27" s="475"/>
      <c r="D27" s="475"/>
      <c r="E27" s="475"/>
      <c r="F27" s="475"/>
      <c r="G27" s="476"/>
      <c r="H27" s="143"/>
      <c r="I27" s="94"/>
      <c r="J27" s="94"/>
      <c r="K27" s="94"/>
    </row>
    <row r="28" spans="1:11" x14ac:dyDescent="0.3">
      <c r="A28" s="34"/>
      <c r="B28" s="474"/>
      <c r="C28" s="475"/>
      <c r="D28" s="475"/>
      <c r="E28" s="475"/>
      <c r="F28" s="475"/>
      <c r="G28" s="476"/>
      <c r="H28" s="143"/>
      <c r="I28" s="94"/>
      <c r="J28" s="94"/>
      <c r="K28" s="94"/>
    </row>
    <row r="29" spans="1:11" x14ac:dyDescent="0.3">
      <c r="A29" s="34"/>
      <c r="B29" s="474"/>
      <c r="C29" s="475"/>
      <c r="D29" s="475"/>
      <c r="E29" s="475"/>
      <c r="F29" s="475"/>
      <c r="G29" s="476"/>
      <c r="H29" s="143"/>
      <c r="I29" s="94"/>
      <c r="J29" s="94"/>
      <c r="K29" s="94"/>
    </row>
    <row r="30" spans="1:11" x14ac:dyDescent="0.3">
      <c r="A30" s="34"/>
      <c r="B30" s="138"/>
      <c r="C30" s="139"/>
      <c r="D30" s="139"/>
      <c r="E30" s="139"/>
      <c r="F30" s="139"/>
      <c r="G30" s="140"/>
      <c r="H30" s="143"/>
      <c r="I30" s="94"/>
      <c r="J30" s="94"/>
      <c r="K30" s="94"/>
    </row>
    <row r="31" spans="1:11" x14ac:dyDescent="0.3">
      <c r="A31" s="34"/>
      <c r="B31" s="138"/>
      <c r="C31" s="139"/>
      <c r="D31" s="139"/>
      <c r="E31" s="139"/>
      <c r="F31" s="139"/>
      <c r="G31" s="140"/>
      <c r="H31" s="143"/>
      <c r="I31" s="94"/>
      <c r="J31" s="94"/>
      <c r="K31" s="94"/>
    </row>
    <row r="32" spans="1:11" x14ac:dyDescent="0.3">
      <c r="A32" s="34"/>
      <c r="B32" s="138"/>
      <c r="C32" s="139"/>
      <c r="D32" s="139"/>
      <c r="E32" s="139"/>
      <c r="F32" s="139"/>
      <c r="G32" s="140"/>
      <c r="H32" s="143"/>
      <c r="I32" s="94"/>
      <c r="J32" s="94"/>
      <c r="K32" s="94"/>
    </row>
    <row r="33" spans="1:11" x14ac:dyDescent="0.3">
      <c r="A33" s="34"/>
      <c r="B33" s="138"/>
      <c r="C33" s="139"/>
      <c r="D33" s="139"/>
      <c r="E33" s="139"/>
      <c r="F33" s="139"/>
      <c r="G33" s="140"/>
      <c r="H33" s="143"/>
      <c r="I33" s="94"/>
      <c r="J33" s="94"/>
      <c r="K33" s="94"/>
    </row>
    <row r="34" spans="1:11" x14ac:dyDescent="0.3">
      <c r="A34" s="34"/>
      <c r="B34" s="138"/>
      <c r="C34" s="139"/>
      <c r="D34" s="139"/>
      <c r="E34" s="139"/>
      <c r="F34" s="139"/>
      <c r="G34" s="140"/>
      <c r="H34" s="143"/>
      <c r="I34" s="94"/>
      <c r="J34" s="94"/>
      <c r="K34" s="94"/>
    </row>
    <row r="35" spans="1:11" x14ac:dyDescent="0.3">
      <c r="A35" s="34"/>
      <c r="B35" s="138"/>
      <c r="C35" s="139"/>
      <c r="D35" s="139"/>
      <c r="E35" s="139"/>
      <c r="F35" s="139"/>
      <c r="G35" s="140"/>
      <c r="H35" s="143"/>
      <c r="I35" s="94"/>
      <c r="J35" s="94"/>
      <c r="K35" s="94"/>
    </row>
    <row r="36" spans="1:11" x14ac:dyDescent="0.3">
      <c r="A36" s="34"/>
      <c r="B36" s="11"/>
      <c r="C36" s="100"/>
      <c r="D36" s="100"/>
      <c r="E36" s="100"/>
      <c r="F36" s="100"/>
      <c r="G36" s="143"/>
      <c r="H36" s="143"/>
      <c r="I36" s="94"/>
      <c r="J36" s="94"/>
      <c r="K36" s="94"/>
    </row>
    <row r="37" spans="1:11" x14ac:dyDescent="0.3">
      <c r="A37" s="34"/>
      <c r="B37" s="5"/>
      <c r="C37" s="2"/>
      <c r="D37" s="2"/>
      <c r="E37" s="2"/>
      <c r="F37" s="2"/>
      <c r="G37" s="144"/>
      <c r="H37" s="143"/>
      <c r="I37" s="95"/>
      <c r="J37" s="95"/>
      <c r="K37" s="95"/>
    </row>
    <row r="38" spans="1:11" ht="14.4" customHeight="1" x14ac:dyDescent="0.3">
      <c r="A38" s="408" t="s">
        <v>35</v>
      </c>
      <c r="B38" s="409"/>
      <c r="C38" s="477" t="s">
        <v>94</v>
      </c>
      <c r="D38" s="477"/>
      <c r="E38" s="477"/>
      <c r="F38" s="477"/>
      <c r="G38" s="478"/>
      <c r="H38" s="406" t="s">
        <v>31</v>
      </c>
      <c r="I38" s="407"/>
      <c r="J38" s="481">
        <f xml:space="preserve"> +SUM(K22+0)</f>
        <v>107880</v>
      </c>
      <c r="K38" s="482"/>
    </row>
    <row r="39" spans="1:11" x14ac:dyDescent="0.3">
      <c r="A39" s="11"/>
      <c r="B39" s="100"/>
      <c r="C39" s="479"/>
      <c r="D39" s="479"/>
      <c r="E39" s="479"/>
      <c r="F39" s="479"/>
      <c r="G39" s="480"/>
      <c r="H39" s="50" t="s">
        <v>32</v>
      </c>
      <c r="I39" s="38">
        <v>0.09</v>
      </c>
      <c r="J39" s="491">
        <f>K22 * I39</f>
        <v>9709.1999999999989</v>
      </c>
      <c r="K39" s="492"/>
    </row>
    <row r="40" spans="1:11" x14ac:dyDescent="0.3">
      <c r="A40" s="11"/>
      <c r="B40" s="100"/>
      <c r="C40" s="100"/>
      <c r="D40" s="100"/>
      <c r="E40" s="100"/>
      <c r="F40" s="100"/>
      <c r="G40" s="134"/>
      <c r="H40" s="50" t="s">
        <v>33</v>
      </c>
      <c r="I40" s="38">
        <v>0.09</v>
      </c>
      <c r="J40" s="491">
        <f>K22 * I40</f>
        <v>9709.1999999999989</v>
      </c>
      <c r="K40" s="492"/>
    </row>
    <row r="41" spans="1:11" x14ac:dyDescent="0.3">
      <c r="A41" s="5"/>
      <c r="B41" s="2"/>
      <c r="C41" s="2"/>
      <c r="D41" s="2"/>
      <c r="E41" s="2"/>
      <c r="F41" s="2"/>
      <c r="G41" s="4"/>
      <c r="H41" s="49" t="s">
        <v>34</v>
      </c>
      <c r="I41" s="150"/>
      <c r="J41" s="483">
        <f>+SUM(J38+J39+J40)</f>
        <v>127298.4</v>
      </c>
      <c r="K41" s="484"/>
    </row>
    <row r="44" spans="1:11" x14ac:dyDescent="0.3">
      <c r="A44" s="145" t="s">
        <v>36</v>
      </c>
      <c r="B44" s="145"/>
    </row>
    <row r="45" spans="1:11" x14ac:dyDescent="0.3">
      <c r="A45" s="145" t="s">
        <v>37</v>
      </c>
      <c r="B45" s="145"/>
      <c r="C45" t="s">
        <v>41</v>
      </c>
      <c r="I45" s="405" t="e" vm="2">
        <v>#VALUE!</v>
      </c>
      <c r="J45" s="405"/>
      <c r="K45" s="405"/>
    </row>
    <row r="46" spans="1:11" x14ac:dyDescent="0.3">
      <c r="A46" s="145" t="s">
        <v>38</v>
      </c>
      <c r="B46" s="145"/>
      <c r="C46" s="36" t="s">
        <v>42</v>
      </c>
      <c r="H46" s="119"/>
      <c r="I46" s="405"/>
      <c r="J46" s="405"/>
      <c r="K46" s="405"/>
    </row>
    <row r="47" spans="1:11" x14ac:dyDescent="0.3">
      <c r="A47" s="145" t="s">
        <v>39</v>
      </c>
      <c r="B47" s="145"/>
      <c r="C47" t="s">
        <v>44</v>
      </c>
      <c r="H47" s="119"/>
      <c r="I47" s="405"/>
      <c r="J47" s="405"/>
      <c r="K47" s="405"/>
    </row>
    <row r="48" spans="1:11" x14ac:dyDescent="0.3">
      <c r="A48" s="145" t="s">
        <v>40</v>
      </c>
      <c r="B48" s="145"/>
      <c r="C48" t="s">
        <v>43</v>
      </c>
      <c r="J48" s="54" t="s">
        <v>48</v>
      </c>
    </row>
  </sheetData>
  <mergeCells count="25">
    <mergeCell ref="A1:E10"/>
    <mergeCell ref="G1:K2"/>
    <mergeCell ref="G4:H4"/>
    <mergeCell ref="H5:I5"/>
    <mergeCell ref="H6:I6"/>
    <mergeCell ref="H7:I7"/>
    <mergeCell ref="H9:I9"/>
    <mergeCell ref="A12:E12"/>
    <mergeCell ref="G12:K12"/>
    <mergeCell ref="A14:E15"/>
    <mergeCell ref="G14:K15"/>
    <mergeCell ref="A20:A21"/>
    <mergeCell ref="B20:G21"/>
    <mergeCell ref="H20:H21"/>
    <mergeCell ref="I20:I21"/>
    <mergeCell ref="J20:J21"/>
    <mergeCell ref="J40:K40"/>
    <mergeCell ref="J41:K41"/>
    <mergeCell ref="I45:K47"/>
    <mergeCell ref="B22:G29"/>
    <mergeCell ref="A38:B38"/>
    <mergeCell ref="C38:G39"/>
    <mergeCell ref="H38:I38"/>
    <mergeCell ref="J38:K38"/>
    <mergeCell ref="J39:K39"/>
  </mergeCells>
  <printOptions horizontalCentered="1" verticalCentered="1"/>
  <pageMargins left="0.25" right="0.25"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B91F5-420C-422F-B9D1-27FDB7291C44}">
  <sheetPr>
    <pageSetUpPr fitToPage="1"/>
  </sheetPr>
  <dimension ref="A1:K48"/>
  <sheetViews>
    <sheetView showWhiteSpace="0" view="pageBreakPreview" topLeftCell="A13" zoomScaleNormal="190" zoomScaleSheetLayoutView="100" zoomScalePageLayoutView="85" workbookViewId="0">
      <selection activeCell="J8" sqref="J8"/>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8" customWidth="1"/>
    <col min="10" max="10" width="7.21875" customWidth="1"/>
    <col min="11" max="11" width="10.5546875" customWidth="1"/>
    <col min="12" max="12" width="5.44140625" customWidth="1"/>
  </cols>
  <sheetData>
    <row r="1" spans="1:11" ht="14.25" customHeight="1" x14ac:dyDescent="0.3">
      <c r="A1" s="422" t="e" vm="1">
        <v>#VALUE!</v>
      </c>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133</v>
      </c>
      <c r="H4" s="171"/>
      <c r="I4" s="178"/>
      <c r="J4" s="9"/>
      <c r="K4" s="10"/>
    </row>
    <row r="5" spans="1:11" ht="14.4" customHeight="1" x14ac:dyDescent="0.3">
      <c r="A5" s="422"/>
      <c r="B5" s="422"/>
      <c r="C5" s="422"/>
      <c r="D5" s="422"/>
      <c r="E5" s="422"/>
      <c r="G5" s="49" t="s">
        <v>2</v>
      </c>
      <c r="H5" s="456" t="s">
        <v>99</v>
      </c>
      <c r="I5" s="456"/>
      <c r="J5" s="2"/>
      <c r="K5" s="4"/>
    </row>
    <row r="6" spans="1:11" ht="14.25" customHeight="1" x14ac:dyDescent="0.3">
      <c r="A6" s="422"/>
      <c r="B6" s="422"/>
      <c r="C6" s="422"/>
      <c r="D6" s="422"/>
      <c r="E6" s="422"/>
      <c r="G6" s="153" t="s">
        <v>23</v>
      </c>
      <c r="H6" s="452">
        <v>57255099100147</v>
      </c>
      <c r="I6" s="452"/>
      <c r="J6" s="452"/>
      <c r="K6" s="10"/>
    </row>
    <row r="7" spans="1:11" ht="14.4" customHeight="1" x14ac:dyDescent="0.3">
      <c r="A7" s="422"/>
      <c r="B7" s="422"/>
      <c r="C7" s="422"/>
      <c r="D7" s="422"/>
      <c r="E7" s="422"/>
      <c r="G7" s="49" t="s">
        <v>2</v>
      </c>
      <c r="H7" s="469">
        <v>45845</v>
      </c>
      <c r="I7" s="470"/>
      <c r="J7" s="2"/>
      <c r="K7" s="4"/>
    </row>
    <row r="8" spans="1:11" ht="14.4" customHeight="1" x14ac:dyDescent="0.3">
      <c r="A8" s="422"/>
      <c r="B8" s="422"/>
      <c r="C8" s="422"/>
      <c r="D8" s="422"/>
      <c r="E8" s="422"/>
      <c r="G8" s="153" t="s">
        <v>134</v>
      </c>
      <c r="H8" s="158"/>
      <c r="I8" s="125"/>
      <c r="J8" s="9"/>
      <c r="K8" s="10"/>
    </row>
    <row r="9" spans="1:11" ht="14.4" customHeight="1" x14ac:dyDescent="0.3">
      <c r="A9" s="422"/>
      <c r="B9" s="422"/>
      <c r="C9" s="422"/>
      <c r="D9" s="422"/>
      <c r="E9" s="422"/>
      <c r="G9" s="49" t="s">
        <v>2</v>
      </c>
      <c r="H9" s="456" t="s">
        <v>99</v>
      </c>
      <c r="I9" s="456"/>
      <c r="J9" s="2"/>
      <c r="K9" s="4"/>
    </row>
    <row r="10" spans="1:11" x14ac:dyDescent="0.3">
      <c r="A10" s="422"/>
      <c r="B10" s="422"/>
      <c r="C10" s="422"/>
      <c r="D10" s="422"/>
      <c r="E10" s="422"/>
      <c r="F10" s="100"/>
      <c r="G10" s="128" t="s">
        <v>90</v>
      </c>
      <c r="H10" s="129"/>
      <c r="I10" s="60"/>
      <c r="J10" s="130" t="s">
        <v>91</v>
      </c>
      <c r="K10" s="102"/>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158"/>
      <c r="D13" s="158"/>
      <c r="E13" s="122"/>
      <c r="G13" s="153"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47"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156"/>
      <c r="D18" s="156"/>
      <c r="E18" s="124"/>
      <c r="G18" s="49" t="s">
        <v>75</v>
      </c>
      <c r="H18" s="2"/>
      <c r="I18" s="156"/>
      <c r="J18" s="2"/>
      <c r="K18" s="4"/>
    </row>
    <row r="20" spans="1:11" x14ac:dyDescent="0.3">
      <c r="A20" s="423" t="s">
        <v>25</v>
      </c>
      <c r="B20" s="467" t="s">
        <v>30</v>
      </c>
      <c r="C20" s="418"/>
      <c r="D20" s="418"/>
      <c r="E20" s="418"/>
      <c r="F20" s="418"/>
      <c r="G20" s="419"/>
      <c r="H20" s="419" t="s">
        <v>29</v>
      </c>
      <c r="I20" s="437" t="s">
        <v>136</v>
      </c>
      <c r="J20" s="499" t="s">
        <v>101</v>
      </c>
      <c r="K20" s="154" t="s">
        <v>26</v>
      </c>
    </row>
    <row r="21" spans="1:11" x14ac:dyDescent="0.3">
      <c r="A21" s="424"/>
      <c r="B21" s="468"/>
      <c r="C21" s="420"/>
      <c r="D21" s="420"/>
      <c r="E21" s="420"/>
      <c r="F21" s="420"/>
      <c r="G21" s="421"/>
      <c r="H21" s="421"/>
      <c r="I21" s="449"/>
      <c r="J21" s="500"/>
      <c r="K21" s="155"/>
    </row>
    <row r="22" spans="1:11" ht="14.4" customHeight="1" x14ac:dyDescent="0.3">
      <c r="A22" s="92">
        <v>1</v>
      </c>
      <c r="B22" s="425" t="s">
        <v>96</v>
      </c>
      <c r="C22" s="472"/>
      <c r="D22" s="472"/>
      <c r="E22" s="472"/>
      <c r="F22" s="472"/>
      <c r="G22" s="473"/>
      <c r="H22" s="142">
        <v>3926</v>
      </c>
      <c r="I22" s="92">
        <v>690</v>
      </c>
      <c r="J22" s="160">
        <v>210</v>
      </c>
      <c r="K22" s="168">
        <f>SUM(J22*I22)</f>
        <v>144900</v>
      </c>
    </row>
    <row r="23" spans="1:11" x14ac:dyDescent="0.3">
      <c r="A23" s="34"/>
      <c r="B23" s="474"/>
      <c r="C23" s="475"/>
      <c r="D23" s="475"/>
      <c r="E23" s="475"/>
      <c r="F23" s="475"/>
      <c r="G23" s="476"/>
      <c r="H23" s="143"/>
      <c r="I23" s="94"/>
      <c r="J23" s="94"/>
      <c r="K23" s="94"/>
    </row>
    <row r="24" spans="1:11" x14ac:dyDescent="0.3">
      <c r="A24" s="34"/>
      <c r="B24" s="474"/>
      <c r="C24" s="475"/>
      <c r="D24" s="475"/>
      <c r="E24" s="475"/>
      <c r="F24" s="475"/>
      <c r="G24" s="476"/>
      <c r="H24" s="143"/>
      <c r="I24" s="94"/>
      <c r="J24" s="94"/>
      <c r="K24" s="94"/>
    </row>
    <row r="25" spans="1:11" x14ac:dyDescent="0.3">
      <c r="A25" s="34"/>
      <c r="B25" s="474"/>
      <c r="C25" s="475"/>
      <c r="D25" s="475"/>
      <c r="E25" s="475"/>
      <c r="F25" s="475"/>
      <c r="G25" s="476"/>
      <c r="H25" s="143"/>
      <c r="I25" s="94"/>
      <c r="J25" s="94"/>
      <c r="K25" s="94"/>
    </row>
    <row r="26" spans="1:11" x14ac:dyDescent="0.3">
      <c r="A26" s="34"/>
      <c r="B26" s="474"/>
      <c r="C26" s="475"/>
      <c r="D26" s="475"/>
      <c r="E26" s="475"/>
      <c r="F26" s="475"/>
      <c r="G26" s="476"/>
      <c r="H26" s="143"/>
      <c r="I26" s="94"/>
      <c r="J26" s="94"/>
      <c r="K26" s="94"/>
    </row>
    <row r="27" spans="1:11" x14ac:dyDescent="0.3">
      <c r="A27" s="34"/>
      <c r="B27" s="474"/>
      <c r="C27" s="475"/>
      <c r="D27" s="475"/>
      <c r="E27" s="475"/>
      <c r="F27" s="475"/>
      <c r="G27" s="476"/>
      <c r="H27" s="143"/>
      <c r="I27" s="94"/>
      <c r="J27" s="94"/>
      <c r="K27" s="94"/>
    </row>
    <row r="28" spans="1:11" x14ac:dyDescent="0.3">
      <c r="A28" s="34"/>
      <c r="B28" s="474"/>
      <c r="C28" s="475"/>
      <c r="D28" s="475"/>
      <c r="E28" s="475"/>
      <c r="F28" s="475"/>
      <c r="G28" s="476"/>
      <c r="H28" s="143"/>
      <c r="I28" s="94"/>
      <c r="J28" s="94"/>
      <c r="K28" s="94"/>
    </row>
    <row r="29" spans="1:11" x14ac:dyDescent="0.3">
      <c r="A29" s="34"/>
      <c r="B29" s="474"/>
      <c r="C29" s="475"/>
      <c r="D29" s="475"/>
      <c r="E29" s="475"/>
      <c r="F29" s="475"/>
      <c r="G29" s="476"/>
      <c r="H29" s="143"/>
      <c r="I29" s="94"/>
      <c r="J29" s="94"/>
      <c r="K29" s="94"/>
    </row>
    <row r="30" spans="1:11" x14ac:dyDescent="0.3">
      <c r="A30" s="34"/>
      <c r="B30" s="138"/>
      <c r="C30" s="139"/>
      <c r="D30" s="139"/>
      <c r="E30" s="139"/>
      <c r="F30" s="139"/>
      <c r="G30" s="140"/>
      <c r="H30" s="143"/>
      <c r="I30" s="94"/>
      <c r="J30" s="94"/>
      <c r="K30" s="94"/>
    </row>
    <row r="31" spans="1:11" x14ac:dyDescent="0.3">
      <c r="A31" s="34"/>
      <c r="B31" s="138"/>
      <c r="C31" s="139"/>
      <c r="D31" s="139"/>
      <c r="E31" s="139"/>
      <c r="F31" s="139"/>
      <c r="G31" s="140"/>
      <c r="H31" s="143"/>
      <c r="I31" s="94"/>
      <c r="J31" s="94"/>
      <c r="K31" s="94"/>
    </row>
    <row r="32" spans="1:11" x14ac:dyDescent="0.3">
      <c r="A32" s="34"/>
      <c r="B32" s="138"/>
      <c r="C32" s="139"/>
      <c r="D32" s="139"/>
      <c r="E32" s="139"/>
      <c r="F32" s="139"/>
      <c r="G32" s="140"/>
      <c r="H32" s="143"/>
      <c r="I32" s="94"/>
      <c r="J32" s="94"/>
      <c r="K32" s="94"/>
    </row>
    <row r="33" spans="1:11" x14ac:dyDescent="0.3">
      <c r="A33" s="34"/>
      <c r="B33" s="138"/>
      <c r="C33" s="139"/>
      <c r="D33" s="139"/>
      <c r="E33" s="139"/>
      <c r="F33" s="139"/>
      <c r="G33" s="140"/>
      <c r="H33" s="143"/>
      <c r="I33" s="94"/>
      <c r="J33" s="94"/>
      <c r="K33" s="94"/>
    </row>
    <row r="34" spans="1:11" x14ac:dyDescent="0.3">
      <c r="A34" s="34"/>
      <c r="B34" s="138"/>
      <c r="C34" s="139"/>
      <c r="D34" s="139"/>
      <c r="E34" s="139"/>
      <c r="F34" s="139"/>
      <c r="G34" s="140"/>
      <c r="H34" s="143"/>
      <c r="I34" s="94"/>
      <c r="J34" s="94"/>
      <c r="K34" s="94"/>
    </row>
    <row r="35" spans="1:11" x14ac:dyDescent="0.3">
      <c r="A35" s="34"/>
      <c r="B35" s="138"/>
      <c r="C35" s="139"/>
      <c r="D35" s="139"/>
      <c r="E35" s="139"/>
      <c r="F35" s="139"/>
      <c r="G35" s="140"/>
      <c r="H35" s="143"/>
      <c r="I35" s="94"/>
      <c r="J35" s="94"/>
      <c r="K35" s="94"/>
    </row>
    <row r="36" spans="1:11" x14ac:dyDescent="0.3">
      <c r="A36" s="34"/>
      <c r="B36" s="11"/>
      <c r="C36" s="100"/>
      <c r="D36" s="100"/>
      <c r="E36" s="100"/>
      <c r="F36" s="100"/>
      <c r="G36" s="143"/>
      <c r="H36" s="143"/>
      <c r="I36" s="94"/>
      <c r="J36" s="94"/>
      <c r="K36" s="94"/>
    </row>
    <row r="37" spans="1:11" x14ac:dyDescent="0.3">
      <c r="A37" s="34"/>
      <c r="B37" s="5"/>
      <c r="C37" s="2"/>
      <c r="D37" s="2"/>
      <c r="E37" s="2"/>
      <c r="F37" s="2"/>
      <c r="G37" s="144"/>
      <c r="H37" s="143"/>
      <c r="I37" s="95"/>
      <c r="J37" s="95"/>
      <c r="K37" s="95"/>
    </row>
    <row r="38" spans="1:11" ht="14.4" customHeight="1" x14ac:dyDescent="0.3">
      <c r="A38" s="408" t="s">
        <v>35</v>
      </c>
      <c r="B38" s="409"/>
      <c r="C38" s="477" t="s">
        <v>135</v>
      </c>
      <c r="D38" s="477"/>
      <c r="E38" s="477"/>
      <c r="F38" s="477"/>
      <c r="G38" s="478"/>
      <c r="H38" s="406" t="s">
        <v>31</v>
      </c>
      <c r="I38" s="407"/>
      <c r="J38" s="493">
        <f xml:space="preserve"> +SUM(K22+0)</f>
        <v>144900</v>
      </c>
      <c r="K38" s="494"/>
    </row>
    <row r="39" spans="1:11" x14ac:dyDescent="0.3">
      <c r="A39" s="11"/>
      <c r="B39" s="100"/>
      <c r="C39" s="479"/>
      <c r="D39" s="479"/>
      <c r="E39" s="479"/>
      <c r="F39" s="479"/>
      <c r="G39" s="480"/>
      <c r="H39" s="50" t="s">
        <v>32</v>
      </c>
      <c r="I39" s="38">
        <v>0.09</v>
      </c>
      <c r="J39" s="493">
        <f>K22 * I39</f>
        <v>13041</v>
      </c>
      <c r="K39" s="494"/>
    </row>
    <row r="40" spans="1:11" x14ac:dyDescent="0.3">
      <c r="A40" s="11"/>
      <c r="B40" s="100"/>
      <c r="C40" s="100"/>
      <c r="D40" s="100"/>
      <c r="E40" s="100"/>
      <c r="F40" s="100"/>
      <c r="G40" s="134"/>
      <c r="H40" s="50" t="s">
        <v>33</v>
      </c>
      <c r="I40" s="38">
        <v>0.09</v>
      </c>
      <c r="J40" s="493">
        <f>K22 * I40</f>
        <v>13041</v>
      </c>
      <c r="K40" s="494"/>
    </row>
    <row r="41" spans="1:11" x14ac:dyDescent="0.3">
      <c r="A41" s="5"/>
      <c r="B41" s="2"/>
      <c r="C41" s="2"/>
      <c r="D41" s="2"/>
      <c r="E41" s="2"/>
      <c r="F41" s="2"/>
      <c r="G41" s="4"/>
      <c r="H41" s="49" t="s">
        <v>34</v>
      </c>
      <c r="I41" s="157"/>
      <c r="J41" s="495">
        <f>+SUM(J38+J39+J40)</f>
        <v>170982</v>
      </c>
      <c r="K41" s="496"/>
    </row>
    <row r="44" spans="1:11" x14ac:dyDescent="0.3">
      <c r="A44" s="152" t="s">
        <v>36</v>
      </c>
      <c r="B44" s="152"/>
    </row>
    <row r="45" spans="1:11" x14ac:dyDescent="0.3">
      <c r="A45" s="152" t="s">
        <v>37</v>
      </c>
      <c r="B45" s="152"/>
      <c r="C45" t="s">
        <v>41</v>
      </c>
      <c r="I45" s="405" t="e" vm="2">
        <v>#VALUE!</v>
      </c>
      <c r="J45" s="405"/>
      <c r="K45" s="405"/>
    </row>
    <row r="46" spans="1:11" x14ac:dyDescent="0.3">
      <c r="A46" s="152" t="s">
        <v>38</v>
      </c>
      <c r="B46" s="152"/>
      <c r="C46" s="36" t="s">
        <v>42</v>
      </c>
      <c r="H46" s="119"/>
      <c r="I46" s="405"/>
      <c r="J46" s="405"/>
      <c r="K46" s="405"/>
    </row>
    <row r="47" spans="1:11" x14ac:dyDescent="0.3">
      <c r="A47" s="152" t="s">
        <v>39</v>
      </c>
      <c r="B47" s="152"/>
      <c r="C47" t="s">
        <v>44</v>
      </c>
      <c r="H47" s="119"/>
      <c r="I47" s="405"/>
      <c r="J47" s="405"/>
      <c r="K47" s="405"/>
    </row>
    <row r="48" spans="1:11" x14ac:dyDescent="0.3">
      <c r="A48" s="152" t="s">
        <v>40</v>
      </c>
      <c r="B48" s="152"/>
      <c r="C48" t="s">
        <v>43</v>
      </c>
      <c r="J48" s="54" t="s">
        <v>48</v>
      </c>
    </row>
  </sheetData>
  <mergeCells count="25">
    <mergeCell ref="B20:G21"/>
    <mergeCell ref="H20:H21"/>
    <mergeCell ref="I20:I21"/>
    <mergeCell ref="J20:J21"/>
    <mergeCell ref="A1:E10"/>
    <mergeCell ref="G1:K2"/>
    <mergeCell ref="H5:I5"/>
    <mergeCell ref="H7:I7"/>
    <mergeCell ref="H9:I9"/>
    <mergeCell ref="J40:K40"/>
    <mergeCell ref="J41:K41"/>
    <mergeCell ref="I45:K47"/>
    <mergeCell ref="G17:H17"/>
    <mergeCell ref="H6:J6"/>
    <mergeCell ref="B22:G29"/>
    <mergeCell ref="A38:B38"/>
    <mergeCell ref="C38:G39"/>
    <mergeCell ref="H38:I38"/>
    <mergeCell ref="J38:K38"/>
    <mergeCell ref="J39:K39"/>
    <mergeCell ref="A12:E12"/>
    <mergeCell ref="G12:K12"/>
    <mergeCell ref="A14:E15"/>
    <mergeCell ref="G14:K15"/>
    <mergeCell ref="A20:A21"/>
  </mergeCells>
  <printOptions horizontalCentered="1" verticalCentered="1"/>
  <pageMargins left="0" right="0" top="0" bottom="0" header="0" footer="0"/>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C7369-58A2-4583-A120-8DE18EECA133}">
  <sheetPr>
    <pageSetUpPr fitToPage="1"/>
  </sheetPr>
  <dimension ref="A1:K48"/>
  <sheetViews>
    <sheetView showWhiteSpace="0" view="pageBreakPreview" topLeftCell="A7" zoomScale="115" zoomScaleNormal="190" zoomScaleSheetLayoutView="115" zoomScalePageLayoutView="85" workbookViewId="0">
      <selection activeCell="J23" sqref="J23"/>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10" width="10.44140625" customWidth="1"/>
    <col min="11" max="11" width="10.77734375" customWidth="1"/>
    <col min="12" max="12" width="5.44140625" customWidth="1"/>
  </cols>
  <sheetData>
    <row r="1" spans="1:11" ht="14.25" customHeight="1" x14ac:dyDescent="0.3">
      <c r="A1" s="422" t="e" vm="1">
        <v>#VALUE!</v>
      </c>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98</v>
      </c>
      <c r="H4" s="171"/>
      <c r="I4" s="178"/>
      <c r="J4" s="9"/>
      <c r="K4" s="10"/>
    </row>
    <row r="5" spans="1:11" ht="14.4" customHeight="1" x14ac:dyDescent="0.3">
      <c r="A5" s="422"/>
      <c r="B5" s="422"/>
      <c r="C5" s="422"/>
      <c r="D5" s="422"/>
      <c r="E5" s="422"/>
      <c r="G5" s="49" t="s">
        <v>2</v>
      </c>
      <c r="H5" s="456" t="s">
        <v>112</v>
      </c>
      <c r="I5" s="456"/>
      <c r="J5" s="2"/>
      <c r="K5" s="4"/>
    </row>
    <row r="6" spans="1:11" ht="14.25" customHeight="1" x14ac:dyDescent="0.3">
      <c r="A6" s="422"/>
      <c r="B6" s="422"/>
      <c r="C6" s="422"/>
      <c r="D6" s="422"/>
      <c r="E6" s="422"/>
      <c r="G6" s="173" t="s">
        <v>23</v>
      </c>
      <c r="H6" s="452">
        <v>55255669101106</v>
      </c>
      <c r="I6" s="452"/>
      <c r="J6" s="452"/>
      <c r="K6" s="10"/>
    </row>
    <row r="7" spans="1:11" ht="14.4" customHeight="1" x14ac:dyDescent="0.3">
      <c r="A7" s="422"/>
      <c r="B7" s="422"/>
      <c r="C7" s="422"/>
      <c r="D7" s="422"/>
      <c r="E7" s="422"/>
      <c r="G7" s="49" t="s">
        <v>2</v>
      </c>
      <c r="H7" s="469">
        <v>45846</v>
      </c>
      <c r="I7" s="470"/>
      <c r="J7" s="2"/>
      <c r="K7" s="4"/>
    </row>
    <row r="8" spans="1:11" ht="14.4" customHeight="1" x14ac:dyDescent="0.3">
      <c r="A8" s="422"/>
      <c r="B8" s="422"/>
      <c r="C8" s="422"/>
      <c r="D8" s="422"/>
      <c r="E8" s="422"/>
      <c r="G8" s="173" t="s">
        <v>100</v>
      </c>
      <c r="H8" s="178"/>
      <c r="I8" s="125"/>
      <c r="J8" s="9"/>
      <c r="K8" s="10"/>
    </row>
    <row r="9" spans="1:11" ht="14.4" customHeight="1" x14ac:dyDescent="0.3">
      <c r="A9" s="422"/>
      <c r="B9" s="422"/>
      <c r="C9" s="422"/>
      <c r="D9" s="422"/>
      <c r="E9" s="422"/>
      <c r="G9" s="49" t="s">
        <v>2</v>
      </c>
      <c r="H9" s="456" t="s">
        <v>113</v>
      </c>
      <c r="I9" s="456"/>
      <c r="J9" s="2"/>
      <c r="K9" s="4"/>
    </row>
    <row r="10" spans="1:11" x14ac:dyDescent="0.3">
      <c r="A10" s="422"/>
      <c r="B10" s="422"/>
      <c r="C10" s="422"/>
      <c r="D10" s="422"/>
      <c r="E10" s="422"/>
      <c r="F10" s="100"/>
      <c r="G10" s="128" t="s">
        <v>110</v>
      </c>
      <c r="H10" s="129"/>
      <c r="I10" s="129"/>
      <c r="J10" s="129" t="s">
        <v>111</v>
      </c>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178"/>
      <c r="D13" s="178"/>
      <c r="E13" s="122"/>
      <c r="G13" s="173"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179"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176"/>
      <c r="D18" s="176"/>
      <c r="E18" s="124"/>
      <c r="G18" s="49" t="s">
        <v>75</v>
      </c>
      <c r="H18" s="2"/>
      <c r="I18" s="176"/>
      <c r="J18" s="2"/>
      <c r="K18" s="4"/>
    </row>
    <row r="20" spans="1:11" x14ac:dyDescent="0.3">
      <c r="A20" s="423" t="s">
        <v>25</v>
      </c>
      <c r="B20" s="467" t="s">
        <v>30</v>
      </c>
      <c r="C20" s="418"/>
      <c r="D20" s="418"/>
      <c r="E20" s="418"/>
      <c r="F20" s="418"/>
      <c r="G20" s="419"/>
      <c r="H20" s="419" t="s">
        <v>29</v>
      </c>
      <c r="I20" s="437" t="s">
        <v>108</v>
      </c>
      <c r="J20" s="499" t="s">
        <v>101</v>
      </c>
      <c r="K20" s="174" t="s">
        <v>26</v>
      </c>
    </row>
    <row r="21" spans="1:11" x14ac:dyDescent="0.3">
      <c r="A21" s="424"/>
      <c r="B21" s="468"/>
      <c r="C21" s="420"/>
      <c r="D21" s="420"/>
      <c r="E21" s="420"/>
      <c r="F21" s="420"/>
      <c r="G21" s="421"/>
      <c r="H21" s="421"/>
      <c r="I21" s="449"/>
      <c r="J21" s="500"/>
      <c r="K21" s="175"/>
    </row>
    <row r="22" spans="1:11" ht="14.4" customHeight="1" x14ac:dyDescent="0.3">
      <c r="A22" s="92">
        <v>1</v>
      </c>
      <c r="B22" s="425" t="s">
        <v>107</v>
      </c>
      <c r="C22" s="472"/>
      <c r="D22" s="472"/>
      <c r="E22" s="472"/>
      <c r="F22" s="472"/>
      <c r="G22" s="473"/>
      <c r="H22" s="142">
        <v>7318</v>
      </c>
      <c r="I22" s="92">
        <v>1</v>
      </c>
      <c r="J22" s="160">
        <v>27600</v>
      </c>
      <c r="K22" s="168">
        <f>SUM(J22*I22)</f>
        <v>27600</v>
      </c>
    </row>
    <row r="23" spans="1:11" x14ac:dyDescent="0.3">
      <c r="A23" s="34"/>
      <c r="B23" s="474"/>
      <c r="C23" s="475"/>
      <c r="D23" s="475"/>
      <c r="E23" s="475"/>
      <c r="F23" s="475"/>
      <c r="G23" s="476"/>
      <c r="H23" s="143"/>
      <c r="I23" s="94"/>
      <c r="J23" s="94"/>
      <c r="K23" s="94"/>
    </row>
    <row r="24" spans="1:11" x14ac:dyDescent="0.3">
      <c r="A24" s="34"/>
      <c r="B24" s="474"/>
      <c r="C24" s="475"/>
      <c r="D24" s="475"/>
      <c r="E24" s="475"/>
      <c r="F24" s="475"/>
      <c r="G24" s="476"/>
      <c r="H24" s="143"/>
      <c r="I24" s="94"/>
      <c r="J24" s="94"/>
      <c r="K24" s="94"/>
    </row>
    <row r="25" spans="1:11" x14ac:dyDescent="0.3">
      <c r="A25" s="34"/>
      <c r="B25" s="474"/>
      <c r="C25" s="475"/>
      <c r="D25" s="475"/>
      <c r="E25" s="475"/>
      <c r="F25" s="475"/>
      <c r="G25" s="476"/>
      <c r="H25" s="143"/>
      <c r="I25" s="94"/>
      <c r="J25" s="94"/>
      <c r="K25" s="94"/>
    </row>
    <row r="26" spans="1:11" x14ac:dyDescent="0.3">
      <c r="A26" s="34"/>
      <c r="B26" s="474"/>
      <c r="C26" s="475"/>
      <c r="D26" s="475"/>
      <c r="E26" s="475"/>
      <c r="F26" s="475"/>
      <c r="G26" s="476"/>
      <c r="H26" s="143"/>
      <c r="I26" s="94"/>
      <c r="J26" s="94"/>
      <c r="K26" s="94"/>
    </row>
    <row r="27" spans="1:11" x14ac:dyDescent="0.3">
      <c r="A27" s="34"/>
      <c r="B27" s="474"/>
      <c r="C27" s="475"/>
      <c r="D27" s="475"/>
      <c r="E27" s="475"/>
      <c r="F27" s="475"/>
      <c r="G27" s="476"/>
      <c r="H27" s="143"/>
      <c r="I27" s="94"/>
      <c r="J27" s="94"/>
      <c r="K27" s="94"/>
    </row>
    <row r="28" spans="1:11" x14ac:dyDescent="0.3">
      <c r="A28" s="34"/>
      <c r="B28" s="474"/>
      <c r="C28" s="475"/>
      <c r="D28" s="475"/>
      <c r="E28" s="475"/>
      <c r="F28" s="475"/>
      <c r="G28" s="476"/>
      <c r="H28" s="143"/>
      <c r="I28" s="94"/>
      <c r="J28" s="94"/>
      <c r="K28" s="94"/>
    </row>
    <row r="29" spans="1:11" x14ac:dyDescent="0.3">
      <c r="A29" s="34"/>
      <c r="B29" s="474"/>
      <c r="C29" s="475"/>
      <c r="D29" s="475"/>
      <c r="E29" s="475"/>
      <c r="F29" s="475"/>
      <c r="G29" s="476"/>
      <c r="H29" s="143"/>
      <c r="I29" s="94"/>
      <c r="J29" s="94"/>
      <c r="K29" s="94"/>
    </row>
    <row r="30" spans="1:11" x14ac:dyDescent="0.3">
      <c r="A30" s="34"/>
      <c r="B30" s="138"/>
      <c r="C30" s="139"/>
      <c r="D30" s="139"/>
      <c r="E30" s="139"/>
      <c r="F30" s="139"/>
      <c r="G30" s="140"/>
      <c r="H30" s="143"/>
      <c r="I30" s="94"/>
      <c r="J30" s="94"/>
      <c r="K30" s="94"/>
    </row>
    <row r="31" spans="1:11" x14ac:dyDescent="0.3">
      <c r="A31" s="34"/>
      <c r="B31" s="138"/>
      <c r="C31" s="139"/>
      <c r="D31" s="139"/>
      <c r="E31" s="139"/>
      <c r="F31" s="139"/>
      <c r="G31" s="140"/>
      <c r="H31" s="143"/>
      <c r="I31" s="94"/>
      <c r="J31" s="94"/>
      <c r="K31" s="94"/>
    </row>
    <row r="32" spans="1:11" x14ac:dyDescent="0.3">
      <c r="A32" s="34"/>
      <c r="B32" s="138"/>
      <c r="C32" s="139"/>
      <c r="D32" s="139"/>
      <c r="E32" s="139"/>
      <c r="F32" s="139"/>
      <c r="G32" s="140"/>
      <c r="H32" s="143"/>
      <c r="I32" s="94"/>
      <c r="J32" s="94"/>
      <c r="K32" s="94"/>
    </row>
    <row r="33" spans="1:11" x14ac:dyDescent="0.3">
      <c r="A33" s="34"/>
      <c r="B33" s="138"/>
      <c r="C33" s="139"/>
      <c r="D33" s="139"/>
      <c r="E33" s="139"/>
      <c r="F33" s="139"/>
      <c r="G33" s="140"/>
      <c r="H33" s="143"/>
      <c r="I33" s="94"/>
      <c r="J33" s="94"/>
      <c r="K33" s="94"/>
    </row>
    <row r="34" spans="1:11" x14ac:dyDescent="0.3">
      <c r="A34" s="34"/>
      <c r="B34" s="138"/>
      <c r="C34" s="139"/>
      <c r="D34" s="139"/>
      <c r="E34" s="139"/>
      <c r="F34" s="139"/>
      <c r="G34" s="140"/>
      <c r="H34" s="143"/>
      <c r="I34" s="94"/>
      <c r="J34" s="94"/>
      <c r="K34" s="94"/>
    </row>
    <row r="35" spans="1:11" x14ac:dyDescent="0.3">
      <c r="A35" s="34"/>
      <c r="B35" s="138"/>
      <c r="C35" s="139"/>
      <c r="D35" s="139"/>
      <c r="E35" s="139"/>
      <c r="F35" s="139"/>
      <c r="G35" s="140"/>
      <c r="H35" s="143"/>
      <c r="I35" s="94"/>
      <c r="J35" s="94"/>
      <c r="K35" s="94"/>
    </row>
    <row r="36" spans="1:11" x14ac:dyDescent="0.3">
      <c r="A36" s="34"/>
      <c r="B36" s="11"/>
      <c r="C36" s="100"/>
      <c r="D36" s="100"/>
      <c r="E36" s="100"/>
      <c r="F36" s="100"/>
      <c r="G36" s="143"/>
      <c r="H36" s="143"/>
      <c r="I36" s="94"/>
      <c r="J36" s="94"/>
      <c r="K36" s="94"/>
    </row>
    <row r="37" spans="1:11" x14ac:dyDescent="0.3">
      <c r="A37" s="34"/>
      <c r="B37" s="5"/>
      <c r="C37" s="2"/>
      <c r="D37" s="2"/>
      <c r="E37" s="2"/>
      <c r="F37" s="2"/>
      <c r="G37" s="144"/>
      <c r="H37" s="143"/>
      <c r="I37" s="95"/>
      <c r="J37" s="95"/>
      <c r="K37" s="95"/>
    </row>
    <row r="38" spans="1:11" ht="14.4" customHeight="1" x14ac:dyDescent="0.3">
      <c r="A38" s="408" t="s">
        <v>35</v>
      </c>
      <c r="B38" s="409"/>
      <c r="C38" s="477" t="s">
        <v>109</v>
      </c>
      <c r="D38" s="477"/>
      <c r="E38" s="477"/>
      <c r="F38" s="477"/>
      <c r="G38" s="478"/>
      <c r="H38" s="406" t="s">
        <v>31</v>
      </c>
      <c r="I38" s="407"/>
      <c r="J38" s="493">
        <f xml:space="preserve"> +SUM(K22+0)</f>
        <v>27600</v>
      </c>
      <c r="K38" s="494"/>
    </row>
    <row r="39" spans="1:11" x14ac:dyDescent="0.3">
      <c r="A39" s="11"/>
      <c r="B39" s="100"/>
      <c r="C39" s="479"/>
      <c r="D39" s="479"/>
      <c r="E39" s="479"/>
      <c r="F39" s="479"/>
      <c r="G39" s="480"/>
      <c r="H39" s="50" t="s">
        <v>32</v>
      </c>
      <c r="I39" s="38">
        <v>0.09</v>
      </c>
      <c r="J39" s="493">
        <f>K22 * I39</f>
        <v>2484</v>
      </c>
      <c r="K39" s="494"/>
    </row>
    <row r="40" spans="1:11" x14ac:dyDescent="0.3">
      <c r="A40" s="11"/>
      <c r="B40" s="100"/>
      <c r="C40" s="100"/>
      <c r="D40" s="100"/>
      <c r="E40" s="100"/>
      <c r="F40" s="100"/>
      <c r="G40" s="134"/>
      <c r="H40" s="50" t="s">
        <v>33</v>
      </c>
      <c r="I40" s="38">
        <v>0.09</v>
      </c>
      <c r="J40" s="493">
        <f>K22 * I40</f>
        <v>2484</v>
      </c>
      <c r="K40" s="494"/>
    </row>
    <row r="41" spans="1:11" x14ac:dyDescent="0.3">
      <c r="A41" s="5"/>
      <c r="B41" s="2"/>
      <c r="C41" s="2"/>
      <c r="D41" s="2"/>
      <c r="E41" s="2"/>
      <c r="F41" s="2"/>
      <c r="G41" s="4"/>
      <c r="H41" s="49" t="s">
        <v>34</v>
      </c>
      <c r="I41" s="177"/>
      <c r="J41" s="495">
        <f>+SUM(J38+J39+J40)</f>
        <v>32568</v>
      </c>
      <c r="K41" s="496"/>
    </row>
    <row r="44" spans="1:11" x14ac:dyDescent="0.3">
      <c r="A44" s="172" t="s">
        <v>36</v>
      </c>
      <c r="B44" s="172"/>
    </row>
    <row r="45" spans="1:11" x14ac:dyDescent="0.3">
      <c r="A45" s="172" t="s">
        <v>37</v>
      </c>
      <c r="B45" s="172"/>
      <c r="C45" t="s">
        <v>41</v>
      </c>
      <c r="I45" s="405" t="e" vm="2">
        <v>#VALUE!</v>
      </c>
      <c r="J45" s="405"/>
      <c r="K45" s="405"/>
    </row>
    <row r="46" spans="1:11" x14ac:dyDescent="0.3">
      <c r="A46" s="172" t="s">
        <v>38</v>
      </c>
      <c r="B46" s="172"/>
      <c r="C46" s="36" t="s">
        <v>42</v>
      </c>
      <c r="H46" s="119"/>
      <c r="I46" s="405"/>
      <c r="J46" s="405"/>
      <c r="K46" s="405"/>
    </row>
    <row r="47" spans="1:11" x14ac:dyDescent="0.3">
      <c r="A47" s="172" t="s">
        <v>39</v>
      </c>
      <c r="B47" s="172"/>
      <c r="C47" t="s">
        <v>44</v>
      </c>
      <c r="H47" s="119"/>
      <c r="I47" s="405"/>
      <c r="J47" s="405"/>
      <c r="K47" s="405"/>
    </row>
    <row r="48" spans="1:11" x14ac:dyDescent="0.3">
      <c r="A48" s="172" t="s">
        <v>40</v>
      </c>
      <c r="B48" s="172"/>
      <c r="C48" t="s">
        <v>43</v>
      </c>
      <c r="J48" s="54" t="s">
        <v>48</v>
      </c>
    </row>
  </sheetData>
  <mergeCells count="25">
    <mergeCell ref="A1:E10"/>
    <mergeCell ref="G1:K2"/>
    <mergeCell ref="H5:I5"/>
    <mergeCell ref="H6:J6"/>
    <mergeCell ref="H7:I7"/>
    <mergeCell ref="H9:I9"/>
    <mergeCell ref="A20:A21"/>
    <mergeCell ref="B20:G21"/>
    <mergeCell ref="H20:H21"/>
    <mergeCell ref="I20:I21"/>
    <mergeCell ref="J20:J21"/>
    <mergeCell ref="A12:E12"/>
    <mergeCell ref="G12:K12"/>
    <mergeCell ref="A14:E15"/>
    <mergeCell ref="G14:K15"/>
    <mergeCell ref="G17:H17"/>
    <mergeCell ref="J40:K40"/>
    <mergeCell ref="J41:K41"/>
    <mergeCell ref="I45:K47"/>
    <mergeCell ref="B22:G29"/>
    <mergeCell ref="A38:B38"/>
    <mergeCell ref="C38:G39"/>
    <mergeCell ref="H38:I38"/>
    <mergeCell ref="J38:K38"/>
    <mergeCell ref="J39:K39"/>
  </mergeCells>
  <printOptions horizontalCentered="1" verticalCentered="1"/>
  <pageMargins left="0" right="0" top="0" bottom="0"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7BA05-C5CA-4EAD-BBFB-00E1D4026647}">
  <sheetPr>
    <pageSetUpPr fitToPage="1"/>
  </sheetPr>
  <dimension ref="A1:K48"/>
  <sheetViews>
    <sheetView showWhiteSpace="0" view="pageBreakPreview" topLeftCell="A15" zoomScaleNormal="190" zoomScaleSheetLayoutView="100" zoomScalePageLayoutView="85" workbookViewId="0">
      <selection activeCell="H9" sqref="H9:I9"/>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10.33203125" customWidth="1"/>
    <col min="10" max="10" width="11.33203125" customWidth="1"/>
    <col min="11" max="11" width="11.44140625" customWidth="1"/>
    <col min="12" max="12" width="5.44140625" customWidth="1"/>
  </cols>
  <sheetData>
    <row r="1" spans="1:11" ht="14.25" customHeight="1" x14ac:dyDescent="0.3">
      <c r="A1" s="422" t="e" vm="1">
        <v>#VALUE!</v>
      </c>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115</v>
      </c>
      <c r="H4" s="171"/>
      <c r="I4" s="186"/>
      <c r="J4" s="9"/>
      <c r="K4" s="10"/>
    </row>
    <row r="5" spans="1:11" ht="14.4" customHeight="1" x14ac:dyDescent="0.3">
      <c r="A5" s="422"/>
      <c r="B5" s="422"/>
      <c r="C5" s="422"/>
      <c r="D5" s="422"/>
      <c r="E5" s="422"/>
      <c r="G5" s="49" t="s">
        <v>2</v>
      </c>
      <c r="H5" s="456">
        <v>45878</v>
      </c>
      <c r="I5" s="456"/>
      <c r="J5" s="2"/>
      <c r="K5" s="4"/>
    </row>
    <row r="6" spans="1:11" ht="14.25" customHeight="1" x14ac:dyDescent="0.3">
      <c r="A6" s="422"/>
      <c r="B6" s="422"/>
      <c r="C6" s="422"/>
      <c r="D6" s="422"/>
      <c r="E6" s="422"/>
      <c r="G6" s="181" t="s">
        <v>23</v>
      </c>
      <c r="H6" s="452">
        <v>55255760101260</v>
      </c>
      <c r="I6" s="452"/>
      <c r="J6" s="452"/>
      <c r="K6" s="10"/>
    </row>
    <row r="7" spans="1:11" ht="14.4" customHeight="1" x14ac:dyDescent="0.3">
      <c r="A7" s="422"/>
      <c r="B7" s="422"/>
      <c r="C7" s="422"/>
      <c r="D7" s="422"/>
      <c r="E7" s="422"/>
      <c r="G7" s="49" t="s">
        <v>2</v>
      </c>
      <c r="H7" s="469">
        <v>45756</v>
      </c>
      <c r="I7" s="470"/>
      <c r="J7" s="2"/>
      <c r="K7" s="4"/>
    </row>
    <row r="8" spans="1:11" ht="14.4" customHeight="1" x14ac:dyDescent="0.3">
      <c r="A8" s="422"/>
      <c r="B8" s="422"/>
      <c r="C8" s="422"/>
      <c r="D8" s="422"/>
      <c r="E8" s="422"/>
      <c r="G8" s="181" t="s">
        <v>116</v>
      </c>
      <c r="H8" s="186"/>
      <c r="I8" s="125"/>
      <c r="J8" s="9"/>
      <c r="K8" s="10"/>
    </row>
    <row r="9" spans="1:11" ht="14.4" customHeight="1" x14ac:dyDescent="0.3">
      <c r="A9" s="422"/>
      <c r="B9" s="422"/>
      <c r="C9" s="422"/>
      <c r="D9" s="422"/>
      <c r="E9" s="422"/>
      <c r="G9" s="49" t="s">
        <v>2</v>
      </c>
      <c r="H9" s="456">
        <v>45878</v>
      </c>
      <c r="I9" s="456"/>
      <c r="J9" s="2"/>
      <c r="K9" s="4"/>
    </row>
    <row r="10" spans="1:11" x14ac:dyDescent="0.3">
      <c r="A10" s="422"/>
      <c r="B10" s="422"/>
      <c r="C10" s="422"/>
      <c r="D10" s="422"/>
      <c r="E10" s="422"/>
      <c r="F10" s="100"/>
      <c r="G10" s="128" t="s">
        <v>139</v>
      </c>
      <c r="H10" s="129"/>
      <c r="I10" s="129"/>
      <c r="J10" s="129" t="s">
        <v>138</v>
      </c>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186"/>
      <c r="D13" s="186"/>
      <c r="E13" s="122"/>
      <c r="G13" s="181"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187"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184"/>
      <c r="D18" s="184"/>
      <c r="E18" s="124"/>
      <c r="G18" s="49" t="s">
        <v>75</v>
      </c>
      <c r="H18" s="2"/>
      <c r="I18" s="184"/>
      <c r="J18" s="2"/>
      <c r="K18" s="4"/>
    </row>
    <row r="20" spans="1:11" x14ac:dyDescent="0.3">
      <c r="A20" s="423" t="s">
        <v>25</v>
      </c>
      <c r="B20" s="467" t="s">
        <v>30</v>
      </c>
      <c r="C20" s="418"/>
      <c r="D20" s="418"/>
      <c r="E20" s="418"/>
      <c r="F20" s="418"/>
      <c r="G20" s="419"/>
      <c r="H20" s="419" t="s">
        <v>29</v>
      </c>
      <c r="I20" s="437" t="s">
        <v>108</v>
      </c>
      <c r="J20" s="499" t="s">
        <v>101</v>
      </c>
      <c r="K20" s="182" t="s">
        <v>26</v>
      </c>
    </row>
    <row r="21" spans="1:11" x14ac:dyDescent="0.3">
      <c r="A21" s="424"/>
      <c r="B21" s="468"/>
      <c r="C21" s="420"/>
      <c r="D21" s="420"/>
      <c r="E21" s="420"/>
      <c r="F21" s="420"/>
      <c r="G21" s="421"/>
      <c r="H21" s="421"/>
      <c r="I21" s="449"/>
      <c r="J21" s="500"/>
      <c r="K21" s="183"/>
    </row>
    <row r="22" spans="1:11" ht="14.4" customHeight="1" x14ac:dyDescent="0.3">
      <c r="A22" s="205">
        <v>1</v>
      </c>
      <c r="B22" s="505" t="s">
        <v>114</v>
      </c>
      <c r="C22" s="506"/>
      <c r="D22" s="506"/>
      <c r="E22" s="506"/>
      <c r="F22" s="506"/>
      <c r="G22" s="507"/>
      <c r="H22" s="206">
        <v>8536</v>
      </c>
      <c r="I22" s="205">
        <v>1</v>
      </c>
      <c r="J22" s="210">
        <v>156500</v>
      </c>
      <c r="K22" s="211">
        <f>SUM(J22*I22)</f>
        <v>156500</v>
      </c>
    </row>
    <row r="23" spans="1:11" ht="15.6" x14ac:dyDescent="0.3">
      <c r="A23" s="207"/>
      <c r="B23" s="508"/>
      <c r="C23" s="509"/>
      <c r="D23" s="509"/>
      <c r="E23" s="509"/>
      <c r="F23" s="509"/>
      <c r="G23" s="510"/>
      <c r="H23" s="208"/>
      <c r="I23" s="209"/>
      <c r="J23" s="212"/>
      <c r="K23" s="212"/>
    </row>
    <row r="24" spans="1:11" ht="15.6" x14ac:dyDescent="0.3">
      <c r="A24" s="207"/>
      <c r="B24" s="508"/>
      <c r="C24" s="509"/>
      <c r="D24" s="509"/>
      <c r="E24" s="509"/>
      <c r="F24" s="509"/>
      <c r="G24" s="510"/>
      <c r="H24" s="208"/>
      <c r="I24" s="209"/>
      <c r="J24" s="212"/>
      <c r="K24" s="212"/>
    </row>
    <row r="25" spans="1:11" ht="15.6" x14ac:dyDescent="0.3">
      <c r="A25" s="207"/>
      <c r="B25" s="508"/>
      <c r="C25" s="509"/>
      <c r="D25" s="509"/>
      <c r="E25" s="509"/>
      <c r="F25" s="509"/>
      <c r="G25" s="510"/>
      <c r="H25" s="208"/>
      <c r="I25" s="209"/>
      <c r="J25" s="212"/>
      <c r="K25" s="212"/>
    </row>
    <row r="26" spans="1:11" ht="15.6" x14ac:dyDescent="0.3">
      <c r="A26" s="207"/>
      <c r="B26" s="508"/>
      <c r="C26" s="509"/>
      <c r="D26" s="509"/>
      <c r="E26" s="509"/>
      <c r="F26" s="509"/>
      <c r="G26" s="510"/>
      <c r="H26" s="208"/>
      <c r="I26" s="209"/>
      <c r="J26" s="212"/>
      <c r="K26" s="212"/>
    </row>
    <row r="27" spans="1:11" ht="15.6" x14ac:dyDescent="0.3">
      <c r="A27" s="207"/>
      <c r="B27" s="508"/>
      <c r="C27" s="509"/>
      <c r="D27" s="509"/>
      <c r="E27" s="509"/>
      <c r="F27" s="509"/>
      <c r="G27" s="510"/>
      <c r="H27" s="208"/>
      <c r="I27" s="209"/>
      <c r="J27" s="212"/>
      <c r="K27" s="212"/>
    </row>
    <row r="28" spans="1:11" ht="15.6" x14ac:dyDescent="0.3">
      <c r="A28" s="207"/>
      <c r="B28" s="508"/>
      <c r="C28" s="509"/>
      <c r="D28" s="509"/>
      <c r="E28" s="509"/>
      <c r="F28" s="509"/>
      <c r="G28" s="510"/>
      <c r="H28" s="208"/>
      <c r="I28" s="209"/>
      <c r="J28" s="212"/>
      <c r="K28" s="212"/>
    </row>
    <row r="29" spans="1:11" ht="15.6" x14ac:dyDescent="0.3">
      <c r="A29" s="207"/>
      <c r="B29" s="508"/>
      <c r="C29" s="509"/>
      <c r="D29" s="509"/>
      <c r="E29" s="509"/>
      <c r="F29" s="509"/>
      <c r="G29" s="510"/>
      <c r="H29" s="208"/>
      <c r="I29" s="209"/>
      <c r="J29" s="212"/>
      <c r="K29" s="212"/>
    </row>
    <row r="30" spans="1:11" x14ac:dyDescent="0.3">
      <c r="A30" s="136"/>
      <c r="B30" s="213"/>
      <c r="C30" s="214"/>
      <c r="D30" s="214"/>
      <c r="E30" s="214"/>
      <c r="F30" s="214"/>
      <c r="G30" s="215"/>
      <c r="H30" s="216"/>
      <c r="I30" s="212"/>
      <c r="J30" s="212"/>
      <c r="K30" s="212"/>
    </row>
    <row r="31" spans="1:11" x14ac:dyDescent="0.3">
      <c r="A31" s="136"/>
      <c r="B31" s="213"/>
      <c r="C31" s="214"/>
      <c r="D31" s="214"/>
      <c r="E31" s="214"/>
      <c r="F31" s="214"/>
      <c r="G31" s="215"/>
      <c r="H31" s="216"/>
      <c r="I31" s="212"/>
      <c r="J31" s="212"/>
      <c r="K31" s="212"/>
    </row>
    <row r="32" spans="1:11" x14ac:dyDescent="0.3">
      <c r="A32" s="136"/>
      <c r="B32" s="213"/>
      <c r="C32" s="214"/>
      <c r="D32" s="214"/>
      <c r="E32" s="214"/>
      <c r="F32" s="214"/>
      <c r="G32" s="215"/>
      <c r="H32" s="216"/>
      <c r="I32" s="212"/>
      <c r="J32" s="212"/>
      <c r="K32" s="212"/>
    </row>
    <row r="33" spans="1:11" x14ac:dyDescent="0.3">
      <c r="A33" s="136"/>
      <c r="B33" s="213"/>
      <c r="C33" s="214"/>
      <c r="D33" s="214"/>
      <c r="E33" s="214"/>
      <c r="F33" s="214"/>
      <c r="G33" s="215"/>
      <c r="H33" s="216"/>
      <c r="I33" s="212"/>
      <c r="J33" s="212"/>
      <c r="K33" s="212"/>
    </row>
    <row r="34" spans="1:11" x14ac:dyDescent="0.3">
      <c r="A34" s="136"/>
      <c r="B34" s="213"/>
      <c r="C34" s="214"/>
      <c r="D34" s="214"/>
      <c r="E34" s="214"/>
      <c r="F34" s="214"/>
      <c r="G34" s="215"/>
      <c r="H34" s="216"/>
      <c r="I34" s="212"/>
      <c r="J34" s="212"/>
      <c r="K34" s="212"/>
    </row>
    <row r="35" spans="1:11" x14ac:dyDescent="0.3">
      <c r="A35" s="136"/>
      <c r="B35" s="213"/>
      <c r="C35" s="214"/>
      <c r="D35" s="214"/>
      <c r="E35" s="214"/>
      <c r="F35" s="214"/>
      <c r="G35" s="215"/>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511" t="s">
        <v>117</v>
      </c>
      <c r="D38" s="511"/>
      <c r="E38" s="511"/>
      <c r="F38" s="511"/>
      <c r="G38" s="512"/>
      <c r="H38" s="406" t="s">
        <v>31</v>
      </c>
      <c r="I38" s="407"/>
      <c r="J38" s="501">
        <f xml:space="preserve"> +SUM(K22+0)</f>
        <v>156500</v>
      </c>
      <c r="K38" s="502"/>
    </row>
    <row r="39" spans="1:11" x14ac:dyDescent="0.3">
      <c r="A39" s="11"/>
      <c r="B39" s="100"/>
      <c r="C39" s="513"/>
      <c r="D39" s="513"/>
      <c r="E39" s="513"/>
      <c r="F39" s="513"/>
      <c r="G39" s="514"/>
      <c r="H39" s="50" t="s">
        <v>32</v>
      </c>
      <c r="I39" s="38">
        <v>0.09</v>
      </c>
      <c r="J39" s="501">
        <f>K22 * I39</f>
        <v>14085</v>
      </c>
      <c r="K39" s="502"/>
    </row>
    <row r="40" spans="1:11" x14ac:dyDescent="0.3">
      <c r="A40" s="11"/>
      <c r="B40" s="100"/>
      <c r="C40" s="217"/>
      <c r="D40" s="217"/>
      <c r="E40" s="217"/>
      <c r="F40" s="217"/>
      <c r="G40" s="222"/>
      <c r="H40" s="50" t="s">
        <v>33</v>
      </c>
      <c r="I40" s="38">
        <v>0.09</v>
      </c>
      <c r="J40" s="501">
        <f>K22 * I40</f>
        <v>14085</v>
      </c>
      <c r="K40" s="502"/>
    </row>
    <row r="41" spans="1:11" x14ac:dyDescent="0.3">
      <c r="A41" s="5"/>
      <c r="B41" s="2"/>
      <c r="C41" s="218"/>
      <c r="D41" s="218"/>
      <c r="E41" s="218"/>
      <c r="F41" s="218"/>
      <c r="G41" s="223"/>
      <c r="H41" s="49" t="s">
        <v>34</v>
      </c>
      <c r="I41" s="185"/>
      <c r="J41" s="503">
        <f>+SUM(J38+J39+J40)</f>
        <v>184670</v>
      </c>
      <c r="K41" s="504"/>
    </row>
    <row r="42" spans="1:11" x14ac:dyDescent="0.3">
      <c r="J42" s="221"/>
      <c r="K42" s="221"/>
    </row>
    <row r="43" spans="1:11" x14ac:dyDescent="0.3">
      <c r="J43" s="221"/>
      <c r="K43" s="221"/>
    </row>
    <row r="44" spans="1:11" x14ac:dyDescent="0.3">
      <c r="A44" s="180" t="s">
        <v>36</v>
      </c>
      <c r="B44" s="180"/>
    </row>
    <row r="45" spans="1:11" x14ac:dyDescent="0.3">
      <c r="A45" s="180" t="s">
        <v>37</v>
      </c>
      <c r="B45" s="180"/>
      <c r="C45" t="s">
        <v>41</v>
      </c>
      <c r="I45" s="405" t="e" vm="2">
        <v>#VALUE!</v>
      </c>
      <c r="J45" s="405"/>
      <c r="K45" s="405"/>
    </row>
    <row r="46" spans="1:11" x14ac:dyDescent="0.3">
      <c r="A46" s="180" t="s">
        <v>38</v>
      </c>
      <c r="B46" s="180"/>
      <c r="C46" s="36" t="s">
        <v>42</v>
      </c>
      <c r="H46" s="119"/>
      <c r="I46" s="405"/>
      <c r="J46" s="405"/>
      <c r="K46" s="405"/>
    </row>
    <row r="47" spans="1:11" x14ac:dyDescent="0.3">
      <c r="A47" s="180" t="s">
        <v>39</v>
      </c>
      <c r="B47" s="180"/>
      <c r="C47" t="s">
        <v>44</v>
      </c>
      <c r="H47" s="119"/>
      <c r="I47" s="405"/>
      <c r="J47" s="405"/>
      <c r="K47" s="405"/>
    </row>
    <row r="48" spans="1:11" x14ac:dyDescent="0.3">
      <c r="A48" s="180" t="s">
        <v>40</v>
      </c>
      <c r="B48" s="180"/>
      <c r="C48" t="s">
        <v>43</v>
      </c>
      <c r="J48" s="54" t="s">
        <v>48</v>
      </c>
    </row>
  </sheetData>
  <mergeCells count="25">
    <mergeCell ref="A1:E10"/>
    <mergeCell ref="G1:K2"/>
    <mergeCell ref="H5:I5"/>
    <mergeCell ref="H6:J6"/>
    <mergeCell ref="H7:I7"/>
    <mergeCell ref="H9:I9"/>
    <mergeCell ref="A20:A21"/>
    <mergeCell ref="B20:G21"/>
    <mergeCell ref="H20:H21"/>
    <mergeCell ref="I20:I21"/>
    <mergeCell ref="J20:J21"/>
    <mergeCell ref="A12:E12"/>
    <mergeCell ref="G12:K12"/>
    <mergeCell ref="A14:E15"/>
    <mergeCell ref="G14:K15"/>
    <mergeCell ref="G17:H17"/>
    <mergeCell ref="J40:K40"/>
    <mergeCell ref="J41:K41"/>
    <mergeCell ref="I45:K47"/>
    <mergeCell ref="B22:G29"/>
    <mergeCell ref="A38:B38"/>
    <mergeCell ref="C38:G39"/>
    <mergeCell ref="H38:I38"/>
    <mergeCell ref="J38:K38"/>
    <mergeCell ref="J39:K39"/>
  </mergeCells>
  <printOptions horizontalCentered="1" verticalCentered="1"/>
  <pageMargins left="0" right="0" top="0" bottom="0" header="0" footer="0"/>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4E123-48F0-41EA-B38F-6B36AAE6EB6F}">
  <sheetPr>
    <pageSetUpPr fitToPage="1"/>
  </sheetPr>
  <dimension ref="A1:K48"/>
  <sheetViews>
    <sheetView showWhiteSpace="0" view="pageBreakPreview" topLeftCell="A4" zoomScale="130" zoomScaleNormal="190" zoomScaleSheetLayoutView="130" zoomScalePageLayoutView="85" workbookViewId="0">
      <selection activeCell="H11" sqref="H11"/>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8" customWidth="1"/>
    <col min="10" max="10" width="9.33203125" customWidth="1"/>
    <col min="11" max="11" width="10.5546875" customWidth="1"/>
    <col min="12" max="12" width="5.44140625" customWidth="1"/>
  </cols>
  <sheetData>
    <row r="1" spans="1:11" ht="14.25" customHeight="1" x14ac:dyDescent="0.3">
      <c r="A1" s="422" t="e" vm="1">
        <v>#VALUE!</v>
      </c>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98</v>
      </c>
      <c r="H4" s="171"/>
      <c r="I4" s="167"/>
      <c r="J4" s="9"/>
      <c r="K4" s="10"/>
    </row>
    <row r="5" spans="1:11" ht="14.4" customHeight="1" x14ac:dyDescent="0.3">
      <c r="A5" s="422"/>
      <c r="B5" s="422"/>
      <c r="C5" s="422"/>
      <c r="D5" s="422"/>
      <c r="E5" s="422"/>
      <c r="G5" s="49" t="s">
        <v>2</v>
      </c>
      <c r="H5" s="456" t="s">
        <v>99</v>
      </c>
      <c r="I5" s="456"/>
      <c r="J5" s="2"/>
      <c r="K5" s="4"/>
    </row>
    <row r="6" spans="1:11" ht="14.25" customHeight="1" x14ac:dyDescent="0.3">
      <c r="A6" s="422"/>
      <c r="B6" s="422"/>
      <c r="C6" s="422"/>
      <c r="D6" s="422"/>
      <c r="E6" s="422"/>
      <c r="G6" s="165" t="s">
        <v>23</v>
      </c>
      <c r="H6" s="452">
        <v>55255941201127</v>
      </c>
      <c r="I6" s="452"/>
      <c r="J6" s="452"/>
      <c r="K6" s="10"/>
    </row>
    <row r="7" spans="1:11" ht="14.4" customHeight="1" x14ac:dyDescent="0.3">
      <c r="A7" s="422"/>
      <c r="B7" s="422"/>
      <c r="C7" s="422"/>
      <c r="D7" s="422"/>
      <c r="E7" s="422"/>
      <c r="G7" s="49" t="s">
        <v>2</v>
      </c>
      <c r="H7" s="469">
        <v>45999</v>
      </c>
      <c r="I7" s="470"/>
      <c r="J7" s="2"/>
      <c r="K7" s="4"/>
    </row>
    <row r="8" spans="1:11" ht="14.4" customHeight="1" x14ac:dyDescent="0.3">
      <c r="A8" s="422"/>
      <c r="B8" s="422"/>
      <c r="C8" s="422"/>
      <c r="D8" s="422"/>
      <c r="E8" s="422"/>
      <c r="G8" s="165" t="s">
        <v>100</v>
      </c>
      <c r="H8" s="167"/>
      <c r="I8" s="125"/>
      <c r="J8" s="9"/>
      <c r="K8" s="10"/>
    </row>
    <row r="9" spans="1:11" ht="14.4" customHeight="1" x14ac:dyDescent="0.3">
      <c r="A9" s="422"/>
      <c r="B9" s="422"/>
      <c r="C9" s="422"/>
      <c r="D9" s="422"/>
      <c r="E9" s="422"/>
      <c r="G9" s="49" t="s">
        <v>2</v>
      </c>
      <c r="H9" s="456" t="s">
        <v>99</v>
      </c>
      <c r="I9" s="456"/>
      <c r="J9" s="2"/>
      <c r="K9" s="4"/>
    </row>
    <row r="10" spans="1:11" x14ac:dyDescent="0.3">
      <c r="A10" s="422"/>
      <c r="B10" s="422"/>
      <c r="C10" s="422"/>
      <c r="D10" s="422"/>
      <c r="E10" s="422"/>
      <c r="F10" s="100"/>
      <c r="G10" s="128" t="s">
        <v>90</v>
      </c>
      <c r="H10" s="129"/>
      <c r="I10" s="60"/>
      <c r="J10" s="130" t="s">
        <v>91</v>
      </c>
      <c r="K10" s="102"/>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167"/>
      <c r="D13" s="167"/>
      <c r="E13" s="122"/>
      <c r="G13" s="165"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169"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161"/>
      <c r="D18" s="161"/>
      <c r="E18" s="124"/>
      <c r="G18" s="49" t="s">
        <v>75</v>
      </c>
      <c r="H18" s="2"/>
      <c r="I18" s="161"/>
      <c r="J18" s="2"/>
      <c r="K18" s="4"/>
    </row>
    <row r="20" spans="1:11" x14ac:dyDescent="0.3">
      <c r="A20" s="423" t="s">
        <v>25</v>
      </c>
      <c r="B20" s="467" t="s">
        <v>30</v>
      </c>
      <c r="C20" s="418"/>
      <c r="D20" s="418"/>
      <c r="E20" s="418"/>
      <c r="F20" s="418"/>
      <c r="G20" s="419"/>
      <c r="H20" s="419" t="s">
        <v>29</v>
      </c>
      <c r="I20" s="437" t="s">
        <v>104</v>
      </c>
      <c r="J20" s="499" t="s">
        <v>101</v>
      </c>
      <c r="K20" s="163" t="s">
        <v>26</v>
      </c>
    </row>
    <row r="21" spans="1:11" x14ac:dyDescent="0.3">
      <c r="A21" s="424"/>
      <c r="B21" s="468"/>
      <c r="C21" s="420"/>
      <c r="D21" s="420"/>
      <c r="E21" s="420"/>
      <c r="F21" s="420"/>
      <c r="G21" s="421"/>
      <c r="H21" s="421"/>
      <c r="I21" s="449"/>
      <c r="J21" s="500"/>
      <c r="K21" s="164"/>
    </row>
    <row r="22" spans="1:11" ht="14.4" customHeight="1" x14ac:dyDescent="0.3">
      <c r="A22" s="92">
        <v>1</v>
      </c>
      <c r="B22" s="425" t="s">
        <v>103</v>
      </c>
      <c r="C22" s="472"/>
      <c r="D22" s="472"/>
      <c r="E22" s="472"/>
      <c r="F22" s="472"/>
      <c r="G22" s="473"/>
      <c r="H22" s="142">
        <v>3926</v>
      </c>
      <c r="I22" s="92">
        <v>10</v>
      </c>
      <c r="J22" s="141">
        <v>8474.57</v>
      </c>
      <c r="K22" s="168">
        <f>SUM(J22*I22)</f>
        <v>84745.7</v>
      </c>
    </row>
    <row r="23" spans="1:11" x14ac:dyDescent="0.3">
      <c r="A23" s="34"/>
      <c r="B23" s="474"/>
      <c r="C23" s="475"/>
      <c r="D23" s="475"/>
      <c r="E23" s="475"/>
      <c r="F23" s="475"/>
      <c r="G23" s="476"/>
      <c r="H23" s="143"/>
      <c r="I23" s="94"/>
      <c r="J23" s="94"/>
      <c r="K23" s="94"/>
    </row>
    <row r="24" spans="1:11" x14ac:dyDescent="0.3">
      <c r="A24" s="34"/>
      <c r="B24" s="474"/>
      <c r="C24" s="475"/>
      <c r="D24" s="475"/>
      <c r="E24" s="475"/>
      <c r="F24" s="475"/>
      <c r="G24" s="476"/>
      <c r="H24" s="143"/>
      <c r="I24" s="94"/>
      <c r="J24" s="94"/>
      <c r="K24" s="94"/>
    </row>
    <row r="25" spans="1:11" x14ac:dyDescent="0.3">
      <c r="A25" s="34"/>
      <c r="B25" s="474"/>
      <c r="C25" s="475"/>
      <c r="D25" s="475"/>
      <c r="E25" s="475"/>
      <c r="F25" s="475"/>
      <c r="G25" s="476"/>
      <c r="H25" s="143"/>
      <c r="I25" s="94"/>
      <c r="J25" s="94"/>
      <c r="K25" s="94"/>
    </row>
    <row r="26" spans="1:11" x14ac:dyDescent="0.3">
      <c r="A26" s="34"/>
      <c r="B26" s="474"/>
      <c r="C26" s="475"/>
      <c r="D26" s="475"/>
      <c r="E26" s="475"/>
      <c r="F26" s="475"/>
      <c r="G26" s="476"/>
      <c r="H26" s="143"/>
      <c r="I26" s="94"/>
      <c r="J26" s="94"/>
      <c r="K26" s="94"/>
    </row>
    <row r="27" spans="1:11" x14ac:dyDescent="0.3">
      <c r="A27" s="34"/>
      <c r="B27" s="474"/>
      <c r="C27" s="475"/>
      <c r="D27" s="475"/>
      <c r="E27" s="475"/>
      <c r="F27" s="475"/>
      <c r="G27" s="476"/>
      <c r="H27" s="143"/>
      <c r="I27" s="94"/>
      <c r="J27" s="94"/>
      <c r="K27" s="94"/>
    </row>
    <row r="28" spans="1:11" x14ac:dyDescent="0.3">
      <c r="A28" s="34"/>
      <c r="B28" s="474"/>
      <c r="C28" s="475"/>
      <c r="D28" s="475"/>
      <c r="E28" s="475"/>
      <c r="F28" s="475"/>
      <c r="G28" s="476"/>
      <c r="H28" s="143"/>
      <c r="I28" s="94"/>
      <c r="J28" s="94"/>
      <c r="K28" s="94"/>
    </row>
    <row r="29" spans="1:11" x14ac:dyDescent="0.3">
      <c r="A29" s="34"/>
      <c r="B29" s="474"/>
      <c r="C29" s="475"/>
      <c r="D29" s="475"/>
      <c r="E29" s="475"/>
      <c r="F29" s="475"/>
      <c r="G29" s="476"/>
      <c r="H29" s="143"/>
      <c r="I29" s="94"/>
      <c r="J29" s="94"/>
      <c r="K29" s="94"/>
    </row>
    <row r="30" spans="1:11" x14ac:dyDescent="0.3">
      <c r="A30" s="34"/>
      <c r="B30" s="138"/>
      <c r="C30" s="139"/>
      <c r="D30" s="139"/>
      <c r="E30" s="139"/>
      <c r="F30" s="139"/>
      <c r="G30" s="140"/>
      <c r="H30" s="143"/>
      <c r="I30" s="94"/>
      <c r="J30" s="94"/>
      <c r="K30" s="94"/>
    </row>
    <row r="31" spans="1:11" x14ac:dyDescent="0.3">
      <c r="A31" s="34"/>
      <c r="B31" s="138"/>
      <c r="C31" s="139"/>
      <c r="D31" s="139"/>
      <c r="E31" s="139"/>
      <c r="F31" s="139"/>
      <c r="G31" s="140"/>
      <c r="H31" s="143"/>
      <c r="I31" s="94"/>
      <c r="J31" s="94"/>
      <c r="K31" s="94"/>
    </row>
    <row r="32" spans="1:11" x14ac:dyDescent="0.3">
      <c r="A32" s="34"/>
      <c r="B32" s="138"/>
      <c r="C32" s="139"/>
      <c r="D32" s="139"/>
      <c r="E32" s="139"/>
      <c r="F32" s="139"/>
      <c r="G32" s="140"/>
      <c r="H32" s="143"/>
      <c r="I32" s="94"/>
      <c r="J32" s="94"/>
      <c r="K32" s="94"/>
    </row>
    <row r="33" spans="1:11" x14ac:dyDescent="0.3">
      <c r="A33" s="34"/>
      <c r="B33" s="138"/>
      <c r="C33" s="139"/>
      <c r="D33" s="139"/>
      <c r="E33" s="139"/>
      <c r="F33" s="139"/>
      <c r="G33" s="140"/>
      <c r="H33" s="143"/>
      <c r="I33" s="94"/>
      <c r="J33" s="94"/>
      <c r="K33" s="94"/>
    </row>
    <row r="34" spans="1:11" x14ac:dyDescent="0.3">
      <c r="A34" s="34"/>
      <c r="B34" s="138"/>
      <c r="C34" s="139"/>
      <c r="D34" s="139"/>
      <c r="E34" s="139"/>
      <c r="F34" s="139"/>
      <c r="G34" s="140"/>
      <c r="H34" s="143"/>
      <c r="I34" s="94"/>
      <c r="J34" s="94"/>
      <c r="K34" s="94"/>
    </row>
    <row r="35" spans="1:11" x14ac:dyDescent="0.3">
      <c r="A35" s="34"/>
      <c r="B35" s="138"/>
      <c r="C35" s="139"/>
      <c r="D35" s="139"/>
      <c r="E35" s="139"/>
      <c r="F35" s="139"/>
      <c r="G35" s="140"/>
      <c r="H35" s="143"/>
      <c r="I35" s="94"/>
      <c r="J35" s="94"/>
      <c r="K35" s="94"/>
    </row>
    <row r="36" spans="1:11" x14ac:dyDescent="0.3">
      <c r="A36" s="34"/>
      <c r="B36" s="11"/>
      <c r="C36" s="100"/>
      <c r="D36" s="100"/>
      <c r="E36" s="100"/>
      <c r="F36" s="100"/>
      <c r="G36" s="143"/>
      <c r="H36" s="143"/>
      <c r="I36" s="94"/>
      <c r="J36" s="94"/>
      <c r="K36" s="94"/>
    </row>
    <row r="37" spans="1:11" x14ac:dyDescent="0.3">
      <c r="A37" s="34"/>
      <c r="B37" s="5"/>
      <c r="C37" s="2"/>
      <c r="D37" s="2"/>
      <c r="E37" s="2"/>
      <c r="F37" s="2"/>
      <c r="G37" s="144"/>
      <c r="H37" s="143"/>
      <c r="I37" s="95"/>
      <c r="J37" s="95"/>
      <c r="K37" s="95"/>
    </row>
    <row r="38" spans="1:11" ht="14.4" customHeight="1" x14ac:dyDescent="0.3">
      <c r="A38" s="408" t="s">
        <v>35</v>
      </c>
      <c r="B38" s="409"/>
      <c r="C38" s="477" t="s">
        <v>97</v>
      </c>
      <c r="D38" s="477"/>
      <c r="E38" s="477"/>
      <c r="F38" s="477"/>
      <c r="G38" s="478"/>
      <c r="H38" s="406" t="s">
        <v>31</v>
      </c>
      <c r="I38" s="407"/>
      <c r="J38" s="493">
        <f xml:space="preserve"> +SUM(K22+0)</f>
        <v>84745.7</v>
      </c>
      <c r="K38" s="494"/>
    </row>
    <row r="39" spans="1:11" x14ac:dyDescent="0.3">
      <c r="A39" s="11"/>
      <c r="B39" s="100"/>
      <c r="C39" s="479"/>
      <c r="D39" s="479"/>
      <c r="E39" s="479"/>
      <c r="F39" s="479"/>
      <c r="G39" s="480"/>
      <c r="H39" s="50" t="s">
        <v>32</v>
      </c>
      <c r="I39" s="38">
        <v>0.09</v>
      </c>
      <c r="J39" s="493">
        <f>K22 * I39</f>
        <v>7627.1129999999994</v>
      </c>
      <c r="K39" s="494"/>
    </row>
    <row r="40" spans="1:11" x14ac:dyDescent="0.3">
      <c r="A40" s="11"/>
      <c r="B40" s="100"/>
      <c r="C40" s="100"/>
      <c r="D40" s="100"/>
      <c r="E40" s="100"/>
      <c r="F40" s="100"/>
      <c r="G40" s="134"/>
      <c r="H40" s="50" t="s">
        <v>33</v>
      </c>
      <c r="I40" s="38">
        <v>0.09</v>
      </c>
      <c r="J40" s="493">
        <f>K22 * I40</f>
        <v>7627.1129999999994</v>
      </c>
      <c r="K40" s="494"/>
    </row>
    <row r="41" spans="1:11" x14ac:dyDescent="0.3">
      <c r="A41" s="5"/>
      <c r="B41" s="2"/>
      <c r="C41" s="2"/>
      <c r="D41" s="2"/>
      <c r="E41" s="2"/>
      <c r="F41" s="2"/>
      <c r="G41" s="4"/>
      <c r="H41" s="49" t="s">
        <v>34</v>
      </c>
      <c r="I41" s="162"/>
      <c r="J41" s="495">
        <f>+SUM(J38+J39+J40)</f>
        <v>99999.925999999992</v>
      </c>
      <c r="K41" s="496"/>
    </row>
    <row r="44" spans="1:11" x14ac:dyDescent="0.3">
      <c r="A44" s="166" t="s">
        <v>36</v>
      </c>
      <c r="B44" s="166"/>
    </row>
    <row r="45" spans="1:11" x14ac:dyDescent="0.3">
      <c r="A45" s="166" t="s">
        <v>37</v>
      </c>
      <c r="B45" s="166"/>
      <c r="C45" t="s">
        <v>41</v>
      </c>
      <c r="I45" s="405" t="e" vm="2">
        <v>#VALUE!</v>
      </c>
      <c r="J45" s="405"/>
      <c r="K45" s="405"/>
    </row>
    <row r="46" spans="1:11" x14ac:dyDescent="0.3">
      <c r="A46" s="166" t="s">
        <v>38</v>
      </c>
      <c r="B46" s="166"/>
      <c r="C46" s="36" t="s">
        <v>42</v>
      </c>
      <c r="H46" s="119"/>
      <c r="I46" s="405"/>
      <c r="J46" s="405"/>
      <c r="K46" s="405"/>
    </row>
    <row r="47" spans="1:11" x14ac:dyDescent="0.3">
      <c r="A47" s="166" t="s">
        <v>39</v>
      </c>
      <c r="B47" s="166"/>
      <c r="C47" t="s">
        <v>44</v>
      </c>
      <c r="H47" s="119"/>
      <c r="I47" s="405"/>
      <c r="J47" s="405"/>
      <c r="K47" s="405"/>
    </row>
    <row r="48" spans="1:11" x14ac:dyDescent="0.3">
      <c r="A48" s="166" t="s">
        <v>40</v>
      </c>
      <c r="B48" s="166"/>
      <c r="C48" t="s">
        <v>43</v>
      </c>
      <c r="J48" s="54" t="s">
        <v>48</v>
      </c>
    </row>
  </sheetData>
  <mergeCells count="25">
    <mergeCell ref="J40:K40"/>
    <mergeCell ref="J41:K41"/>
    <mergeCell ref="I45:K47"/>
    <mergeCell ref="B22:G29"/>
    <mergeCell ref="A38:B38"/>
    <mergeCell ref="C38:G39"/>
    <mergeCell ref="H38:I38"/>
    <mergeCell ref="J38:K38"/>
    <mergeCell ref="J39:K39"/>
    <mergeCell ref="A12:E12"/>
    <mergeCell ref="G12:K12"/>
    <mergeCell ref="A14:E15"/>
    <mergeCell ref="G14:K15"/>
    <mergeCell ref="G17:H17"/>
    <mergeCell ref="A20:A21"/>
    <mergeCell ref="B20:G21"/>
    <mergeCell ref="H20:H21"/>
    <mergeCell ref="I20:I21"/>
    <mergeCell ref="J20:J21"/>
    <mergeCell ref="A1:E10"/>
    <mergeCell ref="G1:K2"/>
    <mergeCell ref="H5:I5"/>
    <mergeCell ref="H6:J6"/>
    <mergeCell ref="H7:I7"/>
    <mergeCell ref="H9:I9"/>
  </mergeCells>
  <printOptions horizontalCentered="1" verticalCentered="1"/>
  <pageMargins left="0" right="0" top="0" bottom="0" header="0" footer="0"/>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FD67B-A76A-44D0-9E8D-96A1387E6C4B}">
  <sheetPr>
    <pageSetUpPr fitToPage="1"/>
  </sheetPr>
  <dimension ref="A1:K48"/>
  <sheetViews>
    <sheetView showWhiteSpace="0" view="pageBreakPreview" zoomScaleNormal="190" zoomScaleSheetLayoutView="100" zoomScalePageLayoutView="85" workbookViewId="0">
      <selection activeCell="G14" sqref="G14:K15"/>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10.44140625" customWidth="1"/>
    <col min="10" max="10" width="11.33203125" customWidth="1"/>
    <col min="11" max="11" width="11.44140625" customWidth="1"/>
    <col min="12" max="12" width="5.44140625" customWidth="1"/>
  </cols>
  <sheetData>
    <row r="1" spans="1:11" ht="14.25" customHeight="1" x14ac:dyDescent="0.3">
      <c r="A1" s="422" t="e" vm="1">
        <v>#VALUE!</v>
      </c>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118</v>
      </c>
      <c r="H4" s="171"/>
      <c r="I4" s="195"/>
      <c r="J4" s="9"/>
      <c r="K4" s="10"/>
    </row>
    <row r="5" spans="1:11" ht="14.4" customHeight="1" x14ac:dyDescent="0.3">
      <c r="A5" s="422"/>
      <c r="B5" s="422"/>
      <c r="C5" s="422"/>
      <c r="D5" s="422"/>
      <c r="E5" s="422"/>
      <c r="G5" s="49" t="s">
        <v>2</v>
      </c>
      <c r="H5" s="456">
        <v>45878</v>
      </c>
      <c r="I5" s="456"/>
      <c r="J5" s="2"/>
      <c r="K5" s="4"/>
    </row>
    <row r="6" spans="1:11" ht="14.25" customHeight="1" x14ac:dyDescent="0.3">
      <c r="A6" s="422"/>
      <c r="B6" s="422"/>
      <c r="C6" s="422"/>
      <c r="D6" s="422"/>
      <c r="E6" s="422"/>
      <c r="G6" s="193" t="s">
        <v>23</v>
      </c>
      <c r="H6" s="452">
        <v>55255930101259</v>
      </c>
      <c r="I6" s="452"/>
      <c r="J6" s="452"/>
      <c r="K6" s="10"/>
    </row>
    <row r="7" spans="1:11" ht="14.4" customHeight="1" x14ac:dyDescent="0.3">
      <c r="A7" s="422"/>
      <c r="B7" s="422"/>
      <c r="C7" s="422"/>
      <c r="D7" s="422"/>
      <c r="E7" s="422"/>
      <c r="G7" s="49" t="s">
        <v>2</v>
      </c>
      <c r="H7" s="469">
        <v>45756</v>
      </c>
      <c r="I7" s="470"/>
      <c r="J7" s="2"/>
      <c r="K7" s="4"/>
    </row>
    <row r="8" spans="1:11" ht="14.4" customHeight="1" x14ac:dyDescent="0.3">
      <c r="A8" s="422"/>
      <c r="B8" s="422"/>
      <c r="C8" s="422"/>
      <c r="D8" s="422"/>
      <c r="E8" s="422"/>
      <c r="G8" s="193" t="s">
        <v>119</v>
      </c>
      <c r="H8" s="195"/>
      <c r="I8" s="125"/>
      <c r="J8" s="9"/>
      <c r="K8" s="10"/>
    </row>
    <row r="9" spans="1:11" ht="14.4" customHeight="1" x14ac:dyDescent="0.3">
      <c r="A9" s="422"/>
      <c r="B9" s="422"/>
      <c r="C9" s="422"/>
      <c r="D9" s="422"/>
      <c r="E9" s="422"/>
      <c r="G9" s="49" t="s">
        <v>2</v>
      </c>
      <c r="H9" s="456">
        <v>45878</v>
      </c>
      <c r="I9" s="456"/>
      <c r="J9" s="2"/>
      <c r="K9" s="4"/>
    </row>
    <row r="10" spans="1:11" x14ac:dyDescent="0.3">
      <c r="A10" s="422"/>
      <c r="B10" s="422"/>
      <c r="C10" s="422"/>
      <c r="D10" s="422"/>
      <c r="E10" s="422"/>
      <c r="F10" s="100"/>
      <c r="G10" s="128" t="s">
        <v>165</v>
      </c>
      <c r="H10" s="129"/>
      <c r="I10" s="129"/>
      <c r="J10" s="129" t="s">
        <v>166</v>
      </c>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195"/>
      <c r="D13" s="195"/>
      <c r="E13" s="122"/>
      <c r="G13" s="193"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196"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189"/>
      <c r="D18" s="189"/>
      <c r="E18" s="124"/>
      <c r="G18" s="49" t="s">
        <v>75</v>
      </c>
      <c r="H18" s="2"/>
      <c r="I18" s="189"/>
      <c r="J18" s="2"/>
      <c r="K18" s="4"/>
    </row>
    <row r="20" spans="1:11" x14ac:dyDescent="0.3">
      <c r="A20" s="423" t="s">
        <v>25</v>
      </c>
      <c r="B20" s="467" t="s">
        <v>30</v>
      </c>
      <c r="C20" s="418"/>
      <c r="D20" s="418"/>
      <c r="E20" s="418"/>
      <c r="F20" s="418"/>
      <c r="G20" s="419"/>
      <c r="H20" s="419" t="s">
        <v>29</v>
      </c>
      <c r="I20" s="437" t="s">
        <v>104</v>
      </c>
      <c r="J20" s="499" t="s">
        <v>101</v>
      </c>
      <c r="K20" s="191" t="s">
        <v>26</v>
      </c>
    </row>
    <row r="21" spans="1:11" x14ac:dyDescent="0.3">
      <c r="A21" s="424"/>
      <c r="B21" s="468"/>
      <c r="C21" s="420"/>
      <c r="D21" s="420"/>
      <c r="E21" s="420"/>
      <c r="F21" s="420"/>
      <c r="G21" s="421"/>
      <c r="H21" s="421"/>
      <c r="I21" s="449"/>
      <c r="J21" s="500"/>
      <c r="K21" s="192"/>
    </row>
    <row r="22" spans="1:11" ht="14.4" customHeight="1" x14ac:dyDescent="0.3">
      <c r="A22" s="205">
        <v>1</v>
      </c>
      <c r="B22" s="505" t="s">
        <v>120</v>
      </c>
      <c r="C22" s="506"/>
      <c r="D22" s="506"/>
      <c r="E22" s="506"/>
      <c r="F22" s="506"/>
      <c r="G22" s="507"/>
      <c r="H22" s="206">
        <v>7318</v>
      </c>
      <c r="I22" s="205">
        <v>500</v>
      </c>
      <c r="J22" s="210">
        <v>94.9</v>
      </c>
      <c r="K22" s="211">
        <f>SUM(J22*I22)</f>
        <v>47450</v>
      </c>
    </row>
    <row r="23" spans="1:11" ht="15.6" x14ac:dyDescent="0.3">
      <c r="A23" s="207"/>
      <c r="B23" s="508"/>
      <c r="C23" s="509"/>
      <c r="D23" s="509"/>
      <c r="E23" s="509"/>
      <c r="F23" s="509"/>
      <c r="G23" s="510"/>
      <c r="H23" s="208"/>
      <c r="I23" s="209"/>
      <c r="J23" s="212"/>
      <c r="K23" s="212"/>
    </row>
    <row r="24" spans="1:11" ht="15.6" x14ac:dyDescent="0.3">
      <c r="A24" s="207"/>
      <c r="B24" s="508"/>
      <c r="C24" s="509"/>
      <c r="D24" s="509"/>
      <c r="E24" s="509"/>
      <c r="F24" s="509"/>
      <c r="G24" s="510"/>
      <c r="H24" s="208"/>
      <c r="I24" s="209"/>
      <c r="J24" s="212"/>
      <c r="K24" s="212"/>
    </row>
    <row r="25" spans="1:11" ht="15.6" x14ac:dyDescent="0.3">
      <c r="A25" s="207"/>
      <c r="B25" s="508"/>
      <c r="C25" s="509"/>
      <c r="D25" s="509"/>
      <c r="E25" s="509"/>
      <c r="F25" s="509"/>
      <c r="G25" s="510"/>
      <c r="H25" s="208"/>
      <c r="I25" s="209"/>
      <c r="J25" s="212"/>
      <c r="K25" s="212"/>
    </row>
    <row r="26" spans="1:11" ht="15.6" x14ac:dyDescent="0.3">
      <c r="A26" s="207"/>
      <c r="B26" s="508"/>
      <c r="C26" s="509"/>
      <c r="D26" s="509"/>
      <c r="E26" s="509"/>
      <c r="F26" s="509"/>
      <c r="G26" s="510"/>
      <c r="H26" s="208"/>
      <c r="I26" s="209"/>
      <c r="J26" s="212"/>
      <c r="K26" s="212"/>
    </row>
    <row r="27" spans="1:11" ht="15.6" x14ac:dyDescent="0.3">
      <c r="A27" s="207"/>
      <c r="B27" s="508"/>
      <c r="C27" s="509"/>
      <c r="D27" s="509"/>
      <c r="E27" s="509"/>
      <c r="F27" s="509"/>
      <c r="G27" s="510"/>
      <c r="H27" s="208"/>
      <c r="I27" s="209"/>
      <c r="J27" s="212"/>
      <c r="K27" s="212"/>
    </row>
    <row r="28" spans="1:11" ht="15.6" x14ac:dyDescent="0.3">
      <c r="A28" s="207"/>
      <c r="B28" s="508"/>
      <c r="C28" s="509"/>
      <c r="D28" s="509"/>
      <c r="E28" s="509"/>
      <c r="F28" s="509"/>
      <c r="G28" s="510"/>
      <c r="H28" s="208"/>
      <c r="I28" s="209"/>
      <c r="J28" s="212"/>
      <c r="K28" s="212"/>
    </row>
    <row r="29" spans="1:11" ht="15.6" x14ac:dyDescent="0.3">
      <c r="A29" s="207"/>
      <c r="B29" s="508"/>
      <c r="C29" s="509"/>
      <c r="D29" s="509"/>
      <c r="E29" s="509"/>
      <c r="F29" s="509"/>
      <c r="G29" s="510"/>
      <c r="H29" s="208"/>
      <c r="I29" s="209"/>
      <c r="J29" s="212"/>
      <c r="K29" s="212"/>
    </row>
    <row r="30" spans="1:11" x14ac:dyDescent="0.3">
      <c r="A30" s="136"/>
      <c r="B30" s="213"/>
      <c r="C30" s="214"/>
      <c r="D30" s="214"/>
      <c r="E30" s="214"/>
      <c r="F30" s="214"/>
      <c r="G30" s="215"/>
      <c r="H30" s="216"/>
      <c r="I30" s="212"/>
      <c r="J30" s="212"/>
      <c r="K30" s="212"/>
    </row>
    <row r="31" spans="1:11" x14ac:dyDescent="0.3">
      <c r="A31" s="136"/>
      <c r="B31" s="213"/>
      <c r="C31" s="214"/>
      <c r="D31" s="214"/>
      <c r="E31" s="214"/>
      <c r="F31" s="214"/>
      <c r="G31" s="215"/>
      <c r="H31" s="216"/>
      <c r="I31" s="212"/>
      <c r="J31" s="212"/>
      <c r="K31" s="212"/>
    </row>
    <row r="32" spans="1:11" x14ac:dyDescent="0.3">
      <c r="A32" s="136"/>
      <c r="B32" s="213"/>
      <c r="C32" s="214"/>
      <c r="D32" s="214"/>
      <c r="E32" s="214"/>
      <c r="F32" s="214"/>
      <c r="G32" s="215"/>
      <c r="H32" s="216"/>
      <c r="I32" s="212"/>
      <c r="J32" s="212"/>
      <c r="K32" s="212"/>
    </row>
    <row r="33" spans="1:11" x14ac:dyDescent="0.3">
      <c r="A33" s="136"/>
      <c r="B33" s="213"/>
      <c r="C33" s="214"/>
      <c r="D33" s="214"/>
      <c r="E33" s="214"/>
      <c r="F33" s="214"/>
      <c r="G33" s="215"/>
      <c r="H33" s="216"/>
      <c r="I33" s="212"/>
      <c r="J33" s="212"/>
      <c r="K33" s="212"/>
    </row>
    <row r="34" spans="1:11" x14ac:dyDescent="0.3">
      <c r="A34" s="136"/>
      <c r="B34" s="213"/>
      <c r="C34" s="214"/>
      <c r="D34" s="214"/>
      <c r="E34" s="214"/>
      <c r="F34" s="214"/>
      <c r="G34" s="215"/>
      <c r="H34" s="216"/>
      <c r="I34" s="212"/>
      <c r="J34" s="212"/>
      <c r="K34" s="212"/>
    </row>
    <row r="35" spans="1:11" x14ac:dyDescent="0.3">
      <c r="A35" s="136"/>
      <c r="B35" s="213"/>
      <c r="C35" s="214"/>
      <c r="D35" s="214"/>
      <c r="E35" s="214"/>
      <c r="F35" s="214"/>
      <c r="G35" s="215"/>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511" t="s">
        <v>121</v>
      </c>
      <c r="D38" s="511"/>
      <c r="E38" s="511"/>
      <c r="F38" s="511"/>
      <c r="G38" s="512"/>
      <c r="H38" s="406" t="s">
        <v>31</v>
      </c>
      <c r="I38" s="407"/>
      <c r="J38" s="501">
        <f xml:space="preserve"> +SUM(K22+0)</f>
        <v>47450</v>
      </c>
      <c r="K38" s="502"/>
    </row>
    <row r="39" spans="1:11" x14ac:dyDescent="0.3">
      <c r="A39" s="11"/>
      <c r="B39" s="100"/>
      <c r="C39" s="513"/>
      <c r="D39" s="513"/>
      <c r="E39" s="513"/>
      <c r="F39" s="513"/>
      <c r="G39" s="514"/>
      <c r="H39" s="50" t="s">
        <v>32</v>
      </c>
      <c r="I39" s="38">
        <v>0.09</v>
      </c>
      <c r="J39" s="501">
        <f>K22 * I39</f>
        <v>4270.5</v>
      </c>
      <c r="K39" s="502"/>
    </row>
    <row r="40" spans="1:11" x14ac:dyDescent="0.3">
      <c r="A40" s="11"/>
      <c r="B40" s="100"/>
      <c r="C40" s="217"/>
      <c r="D40" s="217"/>
      <c r="E40" s="217"/>
      <c r="F40" s="217"/>
      <c r="G40" s="222"/>
      <c r="H40" s="50" t="s">
        <v>33</v>
      </c>
      <c r="I40" s="38">
        <v>0.09</v>
      </c>
      <c r="J40" s="501">
        <f>K22 * I40</f>
        <v>4270.5</v>
      </c>
      <c r="K40" s="502"/>
    </row>
    <row r="41" spans="1:11" x14ac:dyDescent="0.3">
      <c r="A41" s="5"/>
      <c r="B41" s="2"/>
      <c r="C41" s="218"/>
      <c r="D41" s="218"/>
      <c r="E41" s="218"/>
      <c r="F41" s="218"/>
      <c r="G41" s="223"/>
      <c r="H41" s="49" t="s">
        <v>34</v>
      </c>
      <c r="I41" s="190"/>
      <c r="J41" s="503">
        <f>+SUM(J38+J39+J40)</f>
        <v>55991</v>
      </c>
      <c r="K41" s="504"/>
    </row>
    <row r="42" spans="1:11" x14ac:dyDescent="0.3">
      <c r="J42" s="221"/>
      <c r="K42" s="221"/>
    </row>
    <row r="43" spans="1:11" x14ac:dyDescent="0.3">
      <c r="J43" s="221"/>
      <c r="K43" s="221"/>
    </row>
    <row r="44" spans="1:11" x14ac:dyDescent="0.3">
      <c r="A44" s="194" t="s">
        <v>36</v>
      </c>
      <c r="B44" s="194"/>
    </row>
    <row r="45" spans="1:11" x14ac:dyDescent="0.3">
      <c r="A45" s="194" t="s">
        <v>37</v>
      </c>
      <c r="B45" s="194"/>
      <c r="C45" t="s">
        <v>41</v>
      </c>
      <c r="I45" s="405" t="e" vm="2">
        <v>#VALUE!</v>
      </c>
      <c r="J45" s="405"/>
      <c r="K45" s="405"/>
    </row>
    <row r="46" spans="1:11" x14ac:dyDescent="0.3">
      <c r="A46" s="194" t="s">
        <v>38</v>
      </c>
      <c r="B46" s="194"/>
      <c r="C46" s="36" t="s">
        <v>42</v>
      </c>
      <c r="H46" s="119"/>
      <c r="I46" s="405"/>
      <c r="J46" s="405"/>
      <c r="K46" s="405"/>
    </row>
    <row r="47" spans="1:11" x14ac:dyDescent="0.3">
      <c r="A47" s="194" t="s">
        <v>39</v>
      </c>
      <c r="B47" s="194"/>
      <c r="C47" t="s">
        <v>44</v>
      </c>
      <c r="H47" s="119"/>
      <c r="I47" s="405"/>
      <c r="J47" s="405"/>
      <c r="K47" s="405"/>
    </row>
    <row r="48" spans="1:11" x14ac:dyDescent="0.3">
      <c r="A48" s="194" t="s">
        <v>40</v>
      </c>
      <c r="B48" s="194"/>
      <c r="C48" t="s">
        <v>43</v>
      </c>
      <c r="J48" s="54" t="s">
        <v>48</v>
      </c>
    </row>
  </sheetData>
  <mergeCells count="25">
    <mergeCell ref="J40:K40"/>
    <mergeCell ref="J41:K41"/>
    <mergeCell ref="I45:K47"/>
    <mergeCell ref="B22:G29"/>
    <mergeCell ref="A38:B38"/>
    <mergeCell ref="C38:G39"/>
    <mergeCell ref="H38:I38"/>
    <mergeCell ref="J38:K38"/>
    <mergeCell ref="J39:K39"/>
    <mergeCell ref="A12:E12"/>
    <mergeCell ref="G12:K12"/>
    <mergeCell ref="A14:E15"/>
    <mergeCell ref="G14:K15"/>
    <mergeCell ref="G17:H17"/>
    <mergeCell ref="A20:A21"/>
    <mergeCell ref="B20:G21"/>
    <mergeCell ref="H20:H21"/>
    <mergeCell ref="I20:I21"/>
    <mergeCell ref="J20:J21"/>
    <mergeCell ref="A1:E10"/>
    <mergeCell ref="G1:K2"/>
    <mergeCell ref="H5:I5"/>
    <mergeCell ref="H6:J6"/>
    <mergeCell ref="H7:I7"/>
    <mergeCell ref="H9:I9"/>
  </mergeCells>
  <printOptions horizontalCentered="1" verticalCentered="1"/>
  <pageMargins left="0" right="0" top="0" bottom="0" header="0" footer="0"/>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A5F50-5764-4EAF-86E5-A90FB914B2BC}">
  <sheetPr>
    <pageSetUpPr fitToPage="1"/>
  </sheetPr>
  <dimension ref="A1:K48"/>
  <sheetViews>
    <sheetView showWhiteSpace="0" view="pageBreakPreview" topLeftCell="A19" zoomScaleNormal="190" zoomScaleSheetLayoutView="100" zoomScalePageLayoutView="85" workbookViewId="0">
      <selection activeCell="I30" sqref="I30"/>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9.77734375" customWidth="1"/>
    <col min="10" max="10" width="11.33203125" customWidth="1"/>
    <col min="11" max="11" width="11.44140625" customWidth="1"/>
    <col min="12" max="12" width="5.44140625" customWidth="1"/>
  </cols>
  <sheetData>
    <row r="1" spans="1:11" ht="14.25" customHeight="1" x14ac:dyDescent="0.3">
      <c r="A1" s="422" t="e" vm="1">
        <v>#VALUE!</v>
      </c>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124</v>
      </c>
      <c r="H4" s="171"/>
      <c r="I4" s="203"/>
      <c r="J4" s="9"/>
      <c r="K4" s="10"/>
    </row>
    <row r="5" spans="1:11" ht="14.4" customHeight="1" x14ac:dyDescent="0.3">
      <c r="A5" s="422"/>
      <c r="B5" s="422"/>
      <c r="C5" s="422"/>
      <c r="D5" s="422"/>
      <c r="E5" s="422"/>
      <c r="G5" s="49" t="s">
        <v>2</v>
      </c>
      <c r="H5" s="456">
        <v>45937</v>
      </c>
      <c r="I5" s="456"/>
      <c r="J5" s="2"/>
      <c r="K5" s="4"/>
    </row>
    <row r="6" spans="1:11" ht="14.25" customHeight="1" x14ac:dyDescent="0.3">
      <c r="A6" s="422"/>
      <c r="B6" s="422"/>
      <c r="C6" s="422"/>
      <c r="D6" s="422"/>
      <c r="E6" s="422"/>
      <c r="G6" s="198" t="s">
        <v>23</v>
      </c>
      <c r="H6" s="452">
        <v>55255076100350</v>
      </c>
      <c r="I6" s="452"/>
      <c r="J6" s="452"/>
      <c r="K6" s="10"/>
    </row>
    <row r="7" spans="1:11" ht="14.4" customHeight="1" x14ac:dyDescent="0.3">
      <c r="A7" s="422"/>
      <c r="B7" s="422"/>
      <c r="C7" s="422"/>
      <c r="D7" s="422"/>
      <c r="E7" s="422"/>
      <c r="G7" s="49" t="s">
        <v>2</v>
      </c>
      <c r="H7" s="469" t="s">
        <v>125</v>
      </c>
      <c r="I7" s="470"/>
      <c r="J7" s="2"/>
      <c r="K7" s="4"/>
    </row>
    <row r="8" spans="1:11" ht="14.4" customHeight="1" x14ac:dyDescent="0.3">
      <c r="A8" s="422"/>
      <c r="B8" s="422"/>
      <c r="C8" s="422"/>
      <c r="D8" s="422"/>
      <c r="E8" s="422"/>
      <c r="G8" s="198" t="s">
        <v>126</v>
      </c>
      <c r="H8" s="203"/>
      <c r="I8" s="125"/>
      <c r="J8" s="9"/>
      <c r="K8" s="10"/>
    </row>
    <row r="9" spans="1:11" ht="14.4" customHeight="1" x14ac:dyDescent="0.3">
      <c r="A9" s="422"/>
      <c r="B9" s="422"/>
      <c r="C9" s="422"/>
      <c r="D9" s="422"/>
      <c r="E9" s="422"/>
      <c r="G9" s="49" t="s">
        <v>2</v>
      </c>
      <c r="H9" s="456">
        <v>45937</v>
      </c>
      <c r="I9" s="456"/>
      <c r="J9" s="2"/>
      <c r="K9" s="4"/>
    </row>
    <row r="10" spans="1:11" x14ac:dyDescent="0.3">
      <c r="A10" s="422"/>
      <c r="B10" s="422"/>
      <c r="C10" s="422"/>
      <c r="D10" s="422"/>
      <c r="E10" s="422"/>
      <c r="F10" s="100"/>
      <c r="G10" s="128" t="s">
        <v>127</v>
      </c>
      <c r="H10" s="129"/>
      <c r="I10" s="129"/>
      <c r="J10" s="129" t="s">
        <v>128</v>
      </c>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203"/>
      <c r="D13" s="203"/>
      <c r="E13" s="122"/>
      <c r="G13" s="198"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204"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201"/>
      <c r="D18" s="201"/>
      <c r="E18" s="124"/>
      <c r="G18" s="49" t="s">
        <v>75</v>
      </c>
      <c r="H18" s="2"/>
      <c r="I18" s="201"/>
      <c r="J18" s="2"/>
      <c r="K18" s="4"/>
    </row>
    <row r="20" spans="1:11" x14ac:dyDescent="0.3">
      <c r="A20" s="423" t="s">
        <v>25</v>
      </c>
      <c r="B20" s="467" t="s">
        <v>30</v>
      </c>
      <c r="C20" s="418"/>
      <c r="D20" s="418"/>
      <c r="E20" s="418"/>
      <c r="F20" s="418"/>
      <c r="G20" s="419"/>
      <c r="H20" s="419" t="s">
        <v>29</v>
      </c>
      <c r="I20" s="437" t="s">
        <v>108</v>
      </c>
      <c r="J20" s="499" t="s">
        <v>101</v>
      </c>
      <c r="K20" s="199" t="s">
        <v>26</v>
      </c>
    </row>
    <row r="21" spans="1:11" x14ac:dyDescent="0.3">
      <c r="A21" s="424"/>
      <c r="B21" s="468"/>
      <c r="C21" s="420"/>
      <c r="D21" s="420"/>
      <c r="E21" s="420"/>
      <c r="F21" s="420"/>
      <c r="G21" s="421"/>
      <c r="H21" s="421"/>
      <c r="I21" s="449"/>
      <c r="J21" s="500"/>
      <c r="K21" s="200"/>
    </row>
    <row r="22" spans="1:11" ht="14.4" customHeight="1" x14ac:dyDescent="0.3">
      <c r="A22" s="232">
        <v>1</v>
      </c>
      <c r="B22" s="515" t="s">
        <v>122</v>
      </c>
      <c r="C22" s="516"/>
      <c r="D22" s="516"/>
      <c r="E22" s="516"/>
      <c r="F22" s="516"/>
      <c r="G22" s="517"/>
      <c r="H22" s="233">
        <v>7318</v>
      </c>
      <c r="I22" s="232">
        <v>1</v>
      </c>
      <c r="J22" s="160">
        <v>124000</v>
      </c>
      <c r="K22" s="168">
        <f>SUM(J22*I22)</f>
        <v>124000</v>
      </c>
    </row>
    <row r="23" spans="1:11" ht="15.6" x14ac:dyDescent="0.3">
      <c r="A23" s="234"/>
      <c r="B23" s="518"/>
      <c r="C23" s="519"/>
      <c r="D23" s="519"/>
      <c r="E23" s="519"/>
      <c r="F23" s="519"/>
      <c r="G23" s="520"/>
      <c r="H23" s="235"/>
      <c r="I23" s="236"/>
      <c r="J23" s="237"/>
      <c r="K23" s="237"/>
    </row>
    <row r="24" spans="1:11" ht="15.6" x14ac:dyDescent="0.3">
      <c r="A24" s="234"/>
      <c r="B24" s="518"/>
      <c r="C24" s="519"/>
      <c r="D24" s="519"/>
      <c r="E24" s="519"/>
      <c r="F24" s="519"/>
      <c r="G24" s="520"/>
      <c r="H24" s="235"/>
      <c r="I24" s="236"/>
      <c r="J24" s="237"/>
      <c r="K24" s="237"/>
    </row>
    <row r="25" spans="1:11" ht="15.6" x14ac:dyDescent="0.3">
      <c r="A25" s="234"/>
      <c r="B25" s="518"/>
      <c r="C25" s="519"/>
      <c r="D25" s="519"/>
      <c r="E25" s="519"/>
      <c r="F25" s="519"/>
      <c r="G25" s="520"/>
      <c r="H25" s="235"/>
      <c r="I25" s="236"/>
      <c r="J25" s="237"/>
      <c r="K25" s="237"/>
    </row>
    <row r="26" spans="1:11" ht="15.6" x14ac:dyDescent="0.3">
      <c r="A26" s="234"/>
      <c r="B26" s="518"/>
      <c r="C26" s="519"/>
      <c r="D26" s="519"/>
      <c r="E26" s="519"/>
      <c r="F26" s="519"/>
      <c r="G26" s="520"/>
      <c r="H26" s="235"/>
      <c r="I26" s="236"/>
      <c r="J26" s="237"/>
      <c r="K26" s="237"/>
    </row>
    <row r="27" spans="1:11" ht="15.6" x14ac:dyDescent="0.3">
      <c r="A27" s="234"/>
      <c r="B27" s="518"/>
      <c r="C27" s="519"/>
      <c r="D27" s="519"/>
      <c r="E27" s="519"/>
      <c r="F27" s="519"/>
      <c r="G27" s="520"/>
      <c r="H27" s="235"/>
      <c r="I27" s="236"/>
      <c r="J27" s="237"/>
      <c r="K27" s="237"/>
    </row>
    <row r="28" spans="1:11" ht="15.6" x14ac:dyDescent="0.3">
      <c r="A28" s="234"/>
      <c r="B28" s="518"/>
      <c r="C28" s="519"/>
      <c r="D28" s="519"/>
      <c r="E28" s="519"/>
      <c r="F28" s="519"/>
      <c r="G28" s="520"/>
      <c r="H28" s="235"/>
      <c r="I28" s="236"/>
      <c r="J28" s="237"/>
      <c r="K28" s="237"/>
    </row>
    <row r="29" spans="1:11" ht="15.6" x14ac:dyDescent="0.3">
      <c r="A29" s="234"/>
      <c r="B29" s="518"/>
      <c r="C29" s="519"/>
      <c r="D29" s="519"/>
      <c r="E29" s="519"/>
      <c r="F29" s="519"/>
      <c r="G29" s="520"/>
      <c r="H29" s="235"/>
      <c r="I29" s="236"/>
      <c r="J29" s="237"/>
      <c r="K29" s="237"/>
    </row>
    <row r="30" spans="1:11" x14ac:dyDescent="0.3">
      <c r="A30" s="238"/>
      <c r="B30" s="518"/>
      <c r="C30" s="519"/>
      <c r="D30" s="519"/>
      <c r="E30" s="519"/>
      <c r="F30" s="519"/>
      <c r="G30" s="520"/>
      <c r="H30" s="239"/>
      <c r="I30" s="237"/>
      <c r="J30" s="237"/>
      <c r="K30" s="237"/>
    </row>
    <row r="31" spans="1:11" x14ac:dyDescent="0.3">
      <c r="A31" s="238"/>
      <c r="B31" s="518"/>
      <c r="C31" s="519"/>
      <c r="D31" s="519"/>
      <c r="E31" s="519"/>
      <c r="F31" s="519"/>
      <c r="G31" s="520"/>
      <c r="H31" s="239"/>
      <c r="I31" s="237"/>
      <c r="J31" s="237"/>
      <c r="K31" s="237"/>
    </row>
    <row r="32" spans="1:11" x14ac:dyDescent="0.3">
      <c r="A32" s="238"/>
      <c r="B32" s="518"/>
      <c r="C32" s="519"/>
      <c r="D32" s="519"/>
      <c r="E32" s="519"/>
      <c r="F32" s="519"/>
      <c r="G32" s="520"/>
      <c r="H32" s="239"/>
      <c r="I32" s="237"/>
      <c r="J32" s="237"/>
      <c r="K32" s="237"/>
    </row>
    <row r="33" spans="1:11" x14ac:dyDescent="0.3">
      <c r="A33" s="136"/>
      <c r="B33" s="518"/>
      <c r="C33" s="519"/>
      <c r="D33" s="519"/>
      <c r="E33" s="519"/>
      <c r="F33" s="519"/>
      <c r="G33" s="520"/>
      <c r="H33" s="216"/>
      <c r="I33" s="212"/>
      <c r="J33" s="212"/>
      <c r="K33" s="212"/>
    </row>
    <row r="34" spans="1:11" x14ac:dyDescent="0.3">
      <c r="A34" s="136"/>
      <c r="B34" s="213"/>
      <c r="C34" s="214"/>
      <c r="D34" s="214"/>
      <c r="E34" s="214"/>
      <c r="F34" s="214"/>
      <c r="G34" s="215"/>
      <c r="H34" s="216"/>
      <c r="I34" s="212"/>
      <c r="J34" s="212"/>
      <c r="K34" s="212"/>
    </row>
    <row r="35" spans="1:11" x14ac:dyDescent="0.3">
      <c r="A35" s="136"/>
      <c r="B35" s="213"/>
      <c r="C35" s="214"/>
      <c r="D35" s="214"/>
      <c r="E35" s="214"/>
      <c r="F35" s="214"/>
      <c r="G35" s="215"/>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477" t="s">
        <v>123</v>
      </c>
      <c r="D38" s="477"/>
      <c r="E38" s="477"/>
      <c r="F38" s="477"/>
      <c r="G38" s="478"/>
      <c r="H38" s="406" t="s">
        <v>31</v>
      </c>
      <c r="I38" s="407"/>
      <c r="J38" s="501">
        <f xml:space="preserve"> +SUM(K22+0)</f>
        <v>124000</v>
      </c>
      <c r="K38" s="502"/>
    </row>
    <row r="39" spans="1:11" x14ac:dyDescent="0.3">
      <c r="A39" s="11"/>
      <c r="B39" s="100"/>
      <c r="C39" s="479"/>
      <c r="D39" s="479"/>
      <c r="E39" s="479"/>
      <c r="F39" s="479"/>
      <c r="G39" s="480"/>
      <c r="H39" s="50" t="s">
        <v>32</v>
      </c>
      <c r="I39" s="38">
        <v>0.09</v>
      </c>
      <c r="J39" s="501">
        <f>K22 * I39</f>
        <v>11160</v>
      </c>
      <c r="K39" s="502"/>
    </row>
    <row r="40" spans="1:11" x14ac:dyDescent="0.3">
      <c r="A40" s="11"/>
      <c r="B40" s="100"/>
      <c r="C40" s="240"/>
      <c r="D40" s="240"/>
      <c r="E40" s="240"/>
      <c r="F40" s="240"/>
      <c r="G40" s="241"/>
      <c r="H40" s="50" t="s">
        <v>33</v>
      </c>
      <c r="I40" s="38">
        <v>0.09</v>
      </c>
      <c r="J40" s="501">
        <f>K22 * I40</f>
        <v>11160</v>
      </c>
      <c r="K40" s="502"/>
    </row>
    <row r="41" spans="1:11" x14ac:dyDescent="0.3">
      <c r="A41" s="5"/>
      <c r="B41" s="2"/>
      <c r="C41" s="218"/>
      <c r="D41" s="218"/>
      <c r="E41" s="218"/>
      <c r="F41" s="218"/>
      <c r="G41" s="223"/>
      <c r="H41" s="49" t="s">
        <v>34</v>
      </c>
      <c r="I41" s="202"/>
      <c r="J41" s="503">
        <f>+SUM(J38+J39+J40)</f>
        <v>146320</v>
      </c>
      <c r="K41" s="504"/>
    </row>
    <row r="42" spans="1:11" x14ac:dyDescent="0.3">
      <c r="J42" s="221"/>
      <c r="K42" s="221"/>
    </row>
    <row r="43" spans="1:11" x14ac:dyDescent="0.3">
      <c r="J43" s="221"/>
      <c r="K43" s="221"/>
    </row>
    <row r="44" spans="1:11" x14ac:dyDescent="0.3">
      <c r="A44" s="197" t="s">
        <v>36</v>
      </c>
      <c r="B44" s="197"/>
    </row>
    <row r="45" spans="1:11" x14ac:dyDescent="0.3">
      <c r="A45" s="197" t="s">
        <v>37</v>
      </c>
      <c r="B45" s="197"/>
      <c r="C45" t="s">
        <v>41</v>
      </c>
      <c r="I45" s="405" t="e" vm="2">
        <v>#VALUE!</v>
      </c>
      <c r="J45" s="405"/>
      <c r="K45" s="405"/>
    </row>
    <row r="46" spans="1:11" x14ac:dyDescent="0.3">
      <c r="A46" s="197" t="s">
        <v>38</v>
      </c>
      <c r="B46" s="197"/>
      <c r="C46" s="36" t="s">
        <v>42</v>
      </c>
      <c r="H46" s="119"/>
      <c r="I46" s="405"/>
      <c r="J46" s="405"/>
      <c r="K46" s="405"/>
    </row>
    <row r="47" spans="1:11" x14ac:dyDescent="0.3">
      <c r="A47" s="197" t="s">
        <v>39</v>
      </c>
      <c r="B47" s="197"/>
      <c r="C47" t="s">
        <v>44</v>
      </c>
      <c r="H47" s="119"/>
      <c r="I47" s="405"/>
      <c r="J47" s="405"/>
      <c r="K47" s="405"/>
    </row>
    <row r="48" spans="1:11" x14ac:dyDescent="0.3">
      <c r="A48" s="197" t="s">
        <v>40</v>
      </c>
      <c r="B48" s="197"/>
      <c r="C48" t="s">
        <v>43</v>
      </c>
      <c r="J48" s="54" t="s">
        <v>48</v>
      </c>
    </row>
  </sheetData>
  <mergeCells count="25">
    <mergeCell ref="A1:E10"/>
    <mergeCell ref="G1:K2"/>
    <mergeCell ref="H5:I5"/>
    <mergeCell ref="H6:J6"/>
    <mergeCell ref="H7:I7"/>
    <mergeCell ref="H9:I9"/>
    <mergeCell ref="A20:A21"/>
    <mergeCell ref="B20:G21"/>
    <mergeCell ref="H20:H21"/>
    <mergeCell ref="I20:I21"/>
    <mergeCell ref="J20:J21"/>
    <mergeCell ref="A12:E12"/>
    <mergeCell ref="G12:K12"/>
    <mergeCell ref="A14:E15"/>
    <mergeCell ref="G14:K15"/>
    <mergeCell ref="G17:H17"/>
    <mergeCell ref="J40:K40"/>
    <mergeCell ref="J41:K41"/>
    <mergeCell ref="I45:K47"/>
    <mergeCell ref="B22:G33"/>
    <mergeCell ref="A38:B38"/>
    <mergeCell ref="C38:G39"/>
    <mergeCell ref="H38:I38"/>
    <mergeCell ref="J38:K38"/>
    <mergeCell ref="J39:K39"/>
  </mergeCells>
  <printOptions horizontalCentered="1" verticalCentered="1"/>
  <pageMargins left="0" right="0" top="0" bottom="0" header="0" footer="0"/>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D5289-CBB4-4E8B-A505-FA86074597EE}">
  <sheetPr>
    <pageSetUpPr fitToPage="1"/>
  </sheetPr>
  <dimension ref="A1:K48"/>
  <sheetViews>
    <sheetView showWhiteSpace="0" view="pageBreakPreview" topLeftCell="A15" zoomScaleNormal="190" zoomScaleSheetLayoutView="100" zoomScalePageLayoutView="85" workbookViewId="0">
      <selection activeCell="H22" sqref="H22"/>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9.77734375" customWidth="1"/>
    <col min="10" max="10" width="11.33203125" customWidth="1"/>
    <col min="11" max="11" width="11.44140625" customWidth="1"/>
    <col min="12" max="12" width="5.44140625" customWidth="1"/>
  </cols>
  <sheetData>
    <row r="1" spans="1:11" ht="14.25" customHeight="1" x14ac:dyDescent="0.3">
      <c r="A1" s="422" t="e" vm="1">
        <v>#VALUE!</v>
      </c>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130</v>
      </c>
      <c r="H4" s="171"/>
      <c r="I4" s="230"/>
      <c r="J4" s="9"/>
      <c r="K4" s="10"/>
    </row>
    <row r="5" spans="1:11" ht="14.4" customHeight="1" x14ac:dyDescent="0.3">
      <c r="A5" s="422"/>
      <c r="B5" s="422"/>
      <c r="C5" s="422"/>
      <c r="D5" s="422"/>
      <c r="E5" s="422"/>
      <c r="G5" s="49" t="s">
        <v>2</v>
      </c>
      <c r="H5" s="456">
        <v>45970</v>
      </c>
      <c r="I5" s="456"/>
      <c r="J5" s="2"/>
      <c r="K5" s="4"/>
    </row>
    <row r="6" spans="1:11" ht="14.25" customHeight="1" x14ac:dyDescent="0.3">
      <c r="A6" s="422"/>
      <c r="B6" s="422"/>
      <c r="C6" s="422"/>
      <c r="D6" s="422"/>
      <c r="E6" s="422"/>
      <c r="G6" s="228" t="s">
        <v>23</v>
      </c>
      <c r="H6" s="452">
        <v>55255750101308</v>
      </c>
      <c r="I6" s="452"/>
      <c r="J6" s="452"/>
      <c r="K6" s="10"/>
    </row>
    <row r="7" spans="1:11" ht="14.4" customHeight="1" x14ac:dyDescent="0.3">
      <c r="A7" s="422"/>
      <c r="B7" s="422"/>
      <c r="C7" s="422"/>
      <c r="D7" s="422"/>
      <c r="E7" s="422"/>
      <c r="G7" s="49" t="s">
        <v>2</v>
      </c>
      <c r="H7" s="469">
        <v>45939</v>
      </c>
      <c r="I7" s="470"/>
      <c r="J7" s="2"/>
      <c r="K7" s="4"/>
    </row>
    <row r="8" spans="1:11" ht="14.4" customHeight="1" x14ac:dyDescent="0.3">
      <c r="A8" s="422"/>
      <c r="B8" s="422"/>
      <c r="C8" s="422"/>
      <c r="D8" s="422"/>
      <c r="E8" s="422"/>
      <c r="G8" s="228" t="s">
        <v>132</v>
      </c>
      <c r="H8" s="230"/>
      <c r="I8" s="125"/>
      <c r="J8" s="9"/>
      <c r="K8" s="10"/>
    </row>
    <row r="9" spans="1:11" ht="14.4" customHeight="1" x14ac:dyDescent="0.3">
      <c r="A9" s="422"/>
      <c r="B9" s="422"/>
      <c r="C9" s="422"/>
      <c r="D9" s="422"/>
      <c r="E9" s="422"/>
      <c r="G9" s="49" t="s">
        <v>2</v>
      </c>
      <c r="H9" s="456">
        <v>45970</v>
      </c>
      <c r="I9" s="456"/>
      <c r="J9" s="2"/>
      <c r="K9" s="4"/>
    </row>
    <row r="10" spans="1:11" x14ac:dyDescent="0.3">
      <c r="A10" s="422"/>
      <c r="B10" s="422"/>
      <c r="C10" s="422"/>
      <c r="D10" s="422"/>
      <c r="E10" s="422"/>
      <c r="F10" s="100"/>
      <c r="G10" s="128" t="s">
        <v>137</v>
      </c>
      <c r="H10" s="129"/>
      <c r="I10" s="129"/>
      <c r="J10" s="129" t="s">
        <v>138</v>
      </c>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230"/>
      <c r="D13" s="230"/>
      <c r="E13" s="122"/>
      <c r="G13" s="228"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231"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224"/>
      <c r="D18" s="224"/>
      <c r="E18" s="124"/>
      <c r="G18" s="49" t="s">
        <v>75</v>
      </c>
      <c r="H18" s="2"/>
      <c r="I18" s="224"/>
      <c r="J18" s="2"/>
      <c r="K18" s="4"/>
    </row>
    <row r="20" spans="1:11" x14ac:dyDescent="0.3">
      <c r="A20" s="423" t="s">
        <v>25</v>
      </c>
      <c r="B20" s="467" t="s">
        <v>30</v>
      </c>
      <c r="C20" s="418"/>
      <c r="D20" s="418"/>
      <c r="E20" s="418"/>
      <c r="F20" s="418"/>
      <c r="G20" s="419"/>
      <c r="H20" s="419" t="s">
        <v>29</v>
      </c>
      <c r="I20" s="437" t="s">
        <v>104</v>
      </c>
      <c r="J20" s="499" t="s">
        <v>101</v>
      </c>
      <c r="K20" s="226" t="s">
        <v>26</v>
      </c>
    </row>
    <row r="21" spans="1:11" x14ac:dyDescent="0.3">
      <c r="A21" s="424"/>
      <c r="B21" s="468"/>
      <c r="C21" s="420"/>
      <c r="D21" s="420"/>
      <c r="E21" s="420"/>
      <c r="F21" s="420"/>
      <c r="G21" s="421"/>
      <c r="H21" s="421"/>
      <c r="I21" s="449"/>
      <c r="J21" s="500"/>
      <c r="K21" s="227"/>
    </row>
    <row r="22" spans="1:11" ht="14.4" customHeight="1" x14ac:dyDescent="0.3">
      <c r="A22" s="232">
        <v>1</v>
      </c>
      <c r="B22" s="515" t="s">
        <v>129</v>
      </c>
      <c r="C22" s="516"/>
      <c r="D22" s="516"/>
      <c r="E22" s="516"/>
      <c r="F22" s="516"/>
      <c r="G22" s="517"/>
      <c r="H22" s="233">
        <v>8536</v>
      </c>
      <c r="I22" s="232">
        <v>500</v>
      </c>
      <c r="J22" s="160">
        <v>274</v>
      </c>
      <c r="K22" s="168">
        <f>SUM(J22*I22)</f>
        <v>137000</v>
      </c>
    </row>
    <row r="23" spans="1:11" ht="15.6" x14ac:dyDescent="0.3">
      <c r="A23" s="234"/>
      <c r="B23" s="518"/>
      <c r="C23" s="519"/>
      <c r="D23" s="519"/>
      <c r="E23" s="519"/>
      <c r="F23" s="519"/>
      <c r="G23" s="520"/>
      <c r="H23" s="235"/>
      <c r="I23" s="236"/>
      <c r="J23" s="237"/>
      <c r="K23" s="237"/>
    </row>
    <row r="24" spans="1:11" ht="15.6" x14ac:dyDescent="0.3">
      <c r="A24" s="234"/>
      <c r="B24" s="518"/>
      <c r="C24" s="519"/>
      <c r="D24" s="519"/>
      <c r="E24" s="519"/>
      <c r="F24" s="519"/>
      <c r="G24" s="520"/>
      <c r="H24" s="235"/>
      <c r="I24" s="236"/>
      <c r="J24" s="237"/>
      <c r="K24" s="237"/>
    </row>
    <row r="25" spans="1:11" ht="15.6" x14ac:dyDescent="0.3">
      <c r="A25" s="234"/>
      <c r="B25" s="518"/>
      <c r="C25" s="519"/>
      <c r="D25" s="519"/>
      <c r="E25" s="519"/>
      <c r="F25" s="519"/>
      <c r="G25" s="520"/>
      <c r="H25" s="235"/>
      <c r="I25" s="236"/>
      <c r="J25" s="237"/>
      <c r="K25" s="237"/>
    </row>
    <row r="26" spans="1:11" ht="15.6" x14ac:dyDescent="0.3">
      <c r="A26" s="234"/>
      <c r="B26" s="518"/>
      <c r="C26" s="519"/>
      <c r="D26" s="519"/>
      <c r="E26" s="519"/>
      <c r="F26" s="519"/>
      <c r="G26" s="520"/>
      <c r="H26" s="235"/>
      <c r="I26" s="236"/>
      <c r="J26" s="237"/>
      <c r="K26" s="237"/>
    </row>
    <row r="27" spans="1:11" ht="15.6" x14ac:dyDescent="0.3">
      <c r="A27" s="234"/>
      <c r="B27" s="518"/>
      <c r="C27" s="519"/>
      <c r="D27" s="519"/>
      <c r="E27" s="519"/>
      <c r="F27" s="519"/>
      <c r="G27" s="520"/>
      <c r="H27" s="235"/>
      <c r="I27" s="236"/>
      <c r="J27" s="237"/>
      <c r="K27" s="237"/>
    </row>
    <row r="28" spans="1:11" ht="15.6" x14ac:dyDescent="0.3">
      <c r="A28" s="234"/>
      <c r="B28" s="518"/>
      <c r="C28" s="519"/>
      <c r="D28" s="519"/>
      <c r="E28" s="519"/>
      <c r="F28" s="519"/>
      <c r="G28" s="520"/>
      <c r="H28" s="235"/>
      <c r="I28" s="236"/>
      <c r="J28" s="237"/>
      <c r="K28" s="237"/>
    </row>
    <row r="29" spans="1:11" ht="15.6" x14ac:dyDescent="0.3">
      <c r="A29" s="234"/>
      <c r="B29" s="518"/>
      <c r="C29" s="519"/>
      <c r="D29" s="519"/>
      <c r="E29" s="519"/>
      <c r="F29" s="519"/>
      <c r="G29" s="520"/>
      <c r="H29" s="235"/>
      <c r="I29" s="236"/>
      <c r="J29" s="237"/>
      <c r="K29" s="237"/>
    </row>
    <row r="30" spans="1:11" x14ac:dyDescent="0.3">
      <c r="A30" s="238"/>
      <c r="B30" s="518"/>
      <c r="C30" s="519"/>
      <c r="D30" s="519"/>
      <c r="E30" s="519"/>
      <c r="F30" s="519"/>
      <c r="G30" s="520"/>
      <c r="H30" s="239"/>
      <c r="I30" s="237"/>
      <c r="J30" s="237"/>
      <c r="K30" s="237"/>
    </row>
    <row r="31" spans="1:11" x14ac:dyDescent="0.3">
      <c r="A31" s="238"/>
      <c r="B31" s="518"/>
      <c r="C31" s="519"/>
      <c r="D31" s="519"/>
      <c r="E31" s="519"/>
      <c r="F31" s="519"/>
      <c r="G31" s="520"/>
      <c r="H31" s="239"/>
      <c r="I31" s="237"/>
      <c r="J31" s="237"/>
      <c r="K31" s="237"/>
    </row>
    <row r="32" spans="1:11" x14ac:dyDescent="0.3">
      <c r="A32" s="238"/>
      <c r="B32" s="518"/>
      <c r="C32" s="519"/>
      <c r="D32" s="519"/>
      <c r="E32" s="519"/>
      <c r="F32" s="519"/>
      <c r="G32" s="520"/>
      <c r="H32" s="239"/>
      <c r="I32" s="237"/>
      <c r="J32" s="237"/>
      <c r="K32" s="237"/>
    </row>
    <row r="33" spans="1:11" x14ac:dyDescent="0.3">
      <c r="A33" s="136"/>
      <c r="B33" s="518"/>
      <c r="C33" s="519"/>
      <c r="D33" s="519"/>
      <c r="E33" s="519"/>
      <c r="F33" s="519"/>
      <c r="G33" s="520"/>
      <c r="H33" s="216"/>
      <c r="I33" s="212"/>
      <c r="J33" s="212"/>
      <c r="K33" s="212"/>
    </row>
    <row r="34" spans="1:11" x14ac:dyDescent="0.3">
      <c r="A34" s="136"/>
      <c r="B34" s="213"/>
      <c r="C34" s="214"/>
      <c r="D34" s="214"/>
      <c r="E34" s="214"/>
      <c r="F34" s="214"/>
      <c r="G34" s="215"/>
      <c r="H34" s="216"/>
      <c r="I34" s="212"/>
      <c r="J34" s="212"/>
      <c r="K34" s="212"/>
    </row>
    <row r="35" spans="1:11" x14ac:dyDescent="0.3">
      <c r="A35" s="136"/>
      <c r="B35" s="213"/>
      <c r="C35" s="214"/>
      <c r="D35" s="214"/>
      <c r="E35" s="214"/>
      <c r="F35" s="214"/>
      <c r="G35" s="215"/>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477" t="s">
        <v>131</v>
      </c>
      <c r="D38" s="477"/>
      <c r="E38" s="477"/>
      <c r="F38" s="477"/>
      <c r="G38" s="478"/>
      <c r="H38" s="406" t="s">
        <v>31</v>
      </c>
      <c r="I38" s="407"/>
      <c r="J38" s="501">
        <f xml:space="preserve"> +SUM(K22+0)</f>
        <v>137000</v>
      </c>
      <c r="K38" s="502"/>
    </row>
    <row r="39" spans="1:11" x14ac:dyDescent="0.3">
      <c r="A39" s="11"/>
      <c r="B39" s="100"/>
      <c r="C39" s="479"/>
      <c r="D39" s="479"/>
      <c r="E39" s="479"/>
      <c r="F39" s="479"/>
      <c r="G39" s="480"/>
      <c r="H39" s="50" t="s">
        <v>32</v>
      </c>
      <c r="I39" s="38">
        <v>0.09</v>
      </c>
      <c r="J39" s="501">
        <f>K22 * I39</f>
        <v>12330</v>
      </c>
      <c r="K39" s="502"/>
    </row>
    <row r="40" spans="1:11" x14ac:dyDescent="0.3">
      <c r="A40" s="11"/>
      <c r="B40" s="100"/>
      <c r="C40" s="240"/>
      <c r="D40" s="240"/>
      <c r="E40" s="240"/>
      <c r="F40" s="240"/>
      <c r="G40" s="241"/>
      <c r="H40" s="50" t="s">
        <v>33</v>
      </c>
      <c r="I40" s="38">
        <v>0.09</v>
      </c>
      <c r="J40" s="501">
        <f>K22 * I40</f>
        <v>12330</v>
      </c>
      <c r="K40" s="502"/>
    </row>
    <row r="41" spans="1:11" x14ac:dyDescent="0.3">
      <c r="A41" s="5"/>
      <c r="B41" s="2"/>
      <c r="C41" s="218"/>
      <c r="D41" s="218"/>
      <c r="E41" s="218"/>
      <c r="F41" s="218"/>
      <c r="G41" s="223"/>
      <c r="H41" s="49" t="s">
        <v>34</v>
      </c>
      <c r="I41" s="225"/>
      <c r="J41" s="503">
        <f>+SUM(J38+J39+J40)</f>
        <v>161660</v>
      </c>
      <c r="K41" s="504"/>
    </row>
    <row r="42" spans="1:11" x14ac:dyDescent="0.3">
      <c r="J42" s="221"/>
      <c r="K42" s="221"/>
    </row>
    <row r="43" spans="1:11" x14ac:dyDescent="0.3">
      <c r="J43" s="221"/>
      <c r="K43" s="221"/>
    </row>
    <row r="44" spans="1:11" x14ac:dyDescent="0.3">
      <c r="A44" s="229" t="s">
        <v>36</v>
      </c>
      <c r="B44" s="229"/>
    </row>
    <row r="45" spans="1:11" x14ac:dyDescent="0.3">
      <c r="A45" s="229" t="s">
        <v>37</v>
      </c>
      <c r="B45" s="229"/>
      <c r="C45" t="s">
        <v>41</v>
      </c>
      <c r="I45" s="405" t="e" vm="2">
        <v>#VALUE!</v>
      </c>
      <c r="J45" s="405"/>
      <c r="K45" s="405"/>
    </row>
    <row r="46" spans="1:11" x14ac:dyDescent="0.3">
      <c r="A46" s="229" t="s">
        <v>38</v>
      </c>
      <c r="B46" s="229"/>
      <c r="C46" s="36" t="s">
        <v>42</v>
      </c>
      <c r="H46" s="119"/>
      <c r="I46" s="405"/>
      <c r="J46" s="405"/>
      <c r="K46" s="405"/>
    </row>
    <row r="47" spans="1:11" x14ac:dyDescent="0.3">
      <c r="A47" s="229" t="s">
        <v>39</v>
      </c>
      <c r="B47" s="229"/>
      <c r="C47" t="s">
        <v>44</v>
      </c>
      <c r="H47" s="119"/>
      <c r="I47" s="405"/>
      <c r="J47" s="405"/>
      <c r="K47" s="405"/>
    </row>
    <row r="48" spans="1:11" x14ac:dyDescent="0.3">
      <c r="A48" s="229" t="s">
        <v>40</v>
      </c>
      <c r="B48" s="229"/>
      <c r="C48" t="s">
        <v>43</v>
      </c>
      <c r="J48" s="54" t="s">
        <v>48</v>
      </c>
    </row>
  </sheetData>
  <mergeCells count="25">
    <mergeCell ref="J40:K40"/>
    <mergeCell ref="J41:K41"/>
    <mergeCell ref="I45:K47"/>
    <mergeCell ref="B22:G33"/>
    <mergeCell ref="A38:B38"/>
    <mergeCell ref="C38:G39"/>
    <mergeCell ref="H38:I38"/>
    <mergeCell ref="J38:K38"/>
    <mergeCell ref="J39:K39"/>
    <mergeCell ref="A12:E12"/>
    <mergeCell ref="G12:K12"/>
    <mergeCell ref="A14:E15"/>
    <mergeCell ref="G14:K15"/>
    <mergeCell ref="G17:H17"/>
    <mergeCell ref="A20:A21"/>
    <mergeCell ref="B20:G21"/>
    <mergeCell ref="H20:H21"/>
    <mergeCell ref="I20:I21"/>
    <mergeCell ref="J20:J21"/>
    <mergeCell ref="A1:E10"/>
    <mergeCell ref="G1:K2"/>
    <mergeCell ref="H5:I5"/>
    <mergeCell ref="H6:J6"/>
    <mergeCell ref="H7:I7"/>
    <mergeCell ref="H9:I9"/>
  </mergeCells>
  <printOptions horizontalCentered="1" verticalCentered="1"/>
  <pageMargins left="0" right="0" top="0" bottom="0" header="0" footer="0"/>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8EFCA-9603-420E-9D01-1474F3CA0181}">
  <sheetPr>
    <pageSetUpPr fitToPage="1"/>
  </sheetPr>
  <dimension ref="A1:K48"/>
  <sheetViews>
    <sheetView showWhiteSpace="0" view="pageBreakPreview" topLeftCell="A13" zoomScaleNormal="190" zoomScaleSheetLayoutView="100" zoomScalePageLayoutView="85" workbookViewId="0">
      <selection activeCell="H5" sqref="H5:I5"/>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10.6640625" customWidth="1"/>
    <col min="10" max="10" width="11.33203125" customWidth="1"/>
    <col min="11" max="11" width="11.44140625" customWidth="1"/>
    <col min="12" max="12" width="5.44140625" customWidth="1"/>
  </cols>
  <sheetData>
    <row r="1" spans="1:11" ht="14.25" customHeight="1" x14ac:dyDescent="0.3">
      <c r="A1" s="422" t="e" vm="1">
        <v>#VALUE!</v>
      </c>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140</v>
      </c>
      <c r="H4" s="171"/>
      <c r="I4" s="248"/>
      <c r="J4" s="9"/>
      <c r="K4" s="10"/>
    </row>
    <row r="5" spans="1:11" ht="14.4" customHeight="1" x14ac:dyDescent="0.3">
      <c r="A5" s="422"/>
      <c r="B5" s="422"/>
      <c r="C5" s="422"/>
      <c r="D5" s="422"/>
      <c r="E5" s="422"/>
      <c r="G5" s="49" t="s">
        <v>2</v>
      </c>
      <c r="H5" s="456" t="s">
        <v>141</v>
      </c>
      <c r="I5" s="456"/>
      <c r="J5" s="2"/>
      <c r="K5" s="4"/>
    </row>
    <row r="6" spans="1:11" ht="14.25" customHeight="1" x14ac:dyDescent="0.3">
      <c r="A6" s="422"/>
      <c r="B6" s="422"/>
      <c r="C6" s="422"/>
      <c r="D6" s="422"/>
      <c r="E6" s="422"/>
      <c r="G6" s="246" t="s">
        <v>23</v>
      </c>
      <c r="H6" s="452">
        <v>55255880101257</v>
      </c>
      <c r="I6" s="452"/>
      <c r="J6" s="452"/>
      <c r="K6" s="10"/>
    </row>
    <row r="7" spans="1:11" ht="14.4" customHeight="1" x14ac:dyDescent="0.3">
      <c r="A7" s="422"/>
      <c r="B7" s="422"/>
      <c r="C7" s="422"/>
      <c r="D7" s="422"/>
      <c r="E7" s="422"/>
      <c r="G7" s="49" t="s">
        <v>2</v>
      </c>
      <c r="H7" s="469">
        <v>45756</v>
      </c>
      <c r="I7" s="470"/>
      <c r="J7" s="2"/>
      <c r="K7" s="4"/>
    </row>
    <row r="8" spans="1:11" ht="14.4" customHeight="1" x14ac:dyDescent="0.3">
      <c r="A8" s="422"/>
      <c r="B8" s="422"/>
      <c r="C8" s="422"/>
      <c r="D8" s="422"/>
      <c r="E8" s="422"/>
      <c r="G8" s="246" t="s">
        <v>143</v>
      </c>
      <c r="H8" s="248"/>
      <c r="I8" s="125"/>
      <c r="J8" s="9"/>
      <c r="K8" s="10"/>
    </row>
    <row r="9" spans="1:11" ht="14.4" customHeight="1" x14ac:dyDescent="0.3">
      <c r="A9" s="422"/>
      <c r="B9" s="422"/>
      <c r="C9" s="422"/>
      <c r="D9" s="422"/>
      <c r="E9" s="422"/>
      <c r="G9" s="49" t="s">
        <v>2</v>
      </c>
      <c r="H9" s="456" t="s">
        <v>141</v>
      </c>
      <c r="I9" s="456"/>
      <c r="J9" s="2"/>
      <c r="K9" s="4"/>
    </row>
    <row r="10" spans="1:11" x14ac:dyDescent="0.3">
      <c r="A10" s="422"/>
      <c r="B10" s="422"/>
      <c r="C10" s="422"/>
      <c r="D10" s="422"/>
      <c r="E10" s="422"/>
      <c r="F10" s="100"/>
      <c r="G10" s="128" t="s">
        <v>150</v>
      </c>
      <c r="H10" s="129"/>
      <c r="I10" s="129"/>
      <c r="J10" s="129" t="s">
        <v>151</v>
      </c>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248"/>
      <c r="D13" s="248"/>
      <c r="E13" s="122"/>
      <c r="G13" s="246"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249"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242"/>
      <c r="D18" s="242"/>
      <c r="E18" s="124"/>
      <c r="G18" s="49" t="s">
        <v>75</v>
      </c>
      <c r="H18" s="2"/>
      <c r="I18" s="242"/>
      <c r="J18" s="2"/>
      <c r="K18" s="4"/>
    </row>
    <row r="20" spans="1:11" x14ac:dyDescent="0.3">
      <c r="A20" s="423" t="s">
        <v>25</v>
      </c>
      <c r="B20" s="467" t="s">
        <v>30</v>
      </c>
      <c r="C20" s="418"/>
      <c r="D20" s="418"/>
      <c r="E20" s="418"/>
      <c r="F20" s="418"/>
      <c r="G20" s="419"/>
      <c r="H20" s="419" t="s">
        <v>29</v>
      </c>
      <c r="I20" s="437" t="s">
        <v>60</v>
      </c>
      <c r="J20" s="499" t="s">
        <v>101</v>
      </c>
      <c r="K20" s="244" t="s">
        <v>26</v>
      </c>
    </row>
    <row r="21" spans="1:11" x14ac:dyDescent="0.3">
      <c r="A21" s="424"/>
      <c r="B21" s="468"/>
      <c r="C21" s="420"/>
      <c r="D21" s="420"/>
      <c r="E21" s="420"/>
      <c r="F21" s="420"/>
      <c r="G21" s="421"/>
      <c r="H21" s="421"/>
      <c r="I21" s="449"/>
      <c r="J21" s="500"/>
      <c r="K21" s="245"/>
    </row>
    <row r="22" spans="1:11" ht="14.4" customHeight="1" x14ac:dyDescent="0.3">
      <c r="A22" s="232">
        <v>1</v>
      </c>
      <c r="B22" s="515" t="s">
        <v>142</v>
      </c>
      <c r="C22" s="516"/>
      <c r="D22" s="516"/>
      <c r="E22" s="516"/>
      <c r="F22" s="516"/>
      <c r="G22" s="517"/>
      <c r="H22" s="233">
        <v>8546</v>
      </c>
      <c r="I22" s="232">
        <v>100</v>
      </c>
      <c r="J22" s="160">
        <v>905</v>
      </c>
      <c r="K22" s="168">
        <f>SUM(J22*I22)</f>
        <v>90500</v>
      </c>
    </row>
    <row r="23" spans="1:11" ht="15.6" x14ac:dyDescent="0.3">
      <c r="A23" s="234"/>
      <c r="B23" s="518"/>
      <c r="C23" s="519"/>
      <c r="D23" s="519"/>
      <c r="E23" s="519"/>
      <c r="F23" s="519"/>
      <c r="G23" s="520"/>
      <c r="H23" s="235"/>
      <c r="I23" s="236"/>
      <c r="J23" s="237"/>
      <c r="K23" s="237"/>
    </row>
    <row r="24" spans="1:11" ht="15.6" x14ac:dyDescent="0.3">
      <c r="A24" s="234"/>
      <c r="B24" s="518"/>
      <c r="C24" s="519"/>
      <c r="D24" s="519"/>
      <c r="E24" s="519"/>
      <c r="F24" s="519"/>
      <c r="G24" s="520"/>
      <c r="H24" s="235"/>
      <c r="I24" s="236"/>
      <c r="J24" s="237"/>
      <c r="K24" s="237"/>
    </row>
    <row r="25" spans="1:11" ht="15.6" x14ac:dyDescent="0.3">
      <c r="A25" s="234"/>
      <c r="B25" s="518"/>
      <c r="C25" s="519"/>
      <c r="D25" s="519"/>
      <c r="E25" s="519"/>
      <c r="F25" s="519"/>
      <c r="G25" s="520"/>
      <c r="H25" s="235"/>
      <c r="I25" s="236"/>
      <c r="J25" s="237"/>
      <c r="K25" s="237"/>
    </row>
    <row r="26" spans="1:11" ht="15.6" x14ac:dyDescent="0.3">
      <c r="A26" s="234"/>
      <c r="B26" s="518"/>
      <c r="C26" s="519"/>
      <c r="D26" s="519"/>
      <c r="E26" s="519"/>
      <c r="F26" s="519"/>
      <c r="G26" s="520"/>
      <c r="H26" s="235"/>
      <c r="I26" s="236"/>
      <c r="J26" s="237"/>
      <c r="K26" s="237"/>
    </row>
    <row r="27" spans="1:11" ht="15.6" x14ac:dyDescent="0.3">
      <c r="A27" s="234"/>
      <c r="B27" s="518"/>
      <c r="C27" s="519"/>
      <c r="D27" s="519"/>
      <c r="E27" s="519"/>
      <c r="F27" s="519"/>
      <c r="G27" s="520"/>
      <c r="H27" s="235"/>
      <c r="I27" s="236"/>
      <c r="J27" s="237"/>
      <c r="K27" s="237"/>
    </row>
    <row r="28" spans="1:11" ht="15.6" x14ac:dyDescent="0.3">
      <c r="A28" s="234"/>
      <c r="B28" s="518"/>
      <c r="C28" s="519"/>
      <c r="D28" s="519"/>
      <c r="E28" s="519"/>
      <c r="F28" s="519"/>
      <c r="G28" s="520"/>
      <c r="H28" s="235"/>
      <c r="I28" s="236"/>
      <c r="J28" s="237"/>
      <c r="K28" s="237"/>
    </row>
    <row r="29" spans="1:11" ht="15.6" x14ac:dyDescent="0.3">
      <c r="A29" s="234"/>
      <c r="B29" s="518"/>
      <c r="C29" s="519"/>
      <c r="D29" s="519"/>
      <c r="E29" s="519"/>
      <c r="F29" s="519"/>
      <c r="G29" s="520"/>
      <c r="H29" s="235"/>
      <c r="I29" s="236"/>
      <c r="J29" s="237"/>
      <c r="K29" s="237"/>
    </row>
    <row r="30" spans="1:11" x14ac:dyDescent="0.3">
      <c r="A30" s="238"/>
      <c r="B30" s="518"/>
      <c r="C30" s="519"/>
      <c r="D30" s="519"/>
      <c r="E30" s="519"/>
      <c r="F30" s="519"/>
      <c r="G30" s="520"/>
      <c r="H30" s="239"/>
      <c r="I30" s="237"/>
      <c r="J30" s="237"/>
      <c r="K30" s="237"/>
    </row>
    <row r="31" spans="1:11" x14ac:dyDescent="0.3">
      <c r="A31" s="238"/>
      <c r="B31" s="518"/>
      <c r="C31" s="519"/>
      <c r="D31" s="519"/>
      <c r="E31" s="519"/>
      <c r="F31" s="519"/>
      <c r="G31" s="520"/>
      <c r="H31" s="239"/>
      <c r="I31" s="237"/>
      <c r="J31" s="237"/>
      <c r="K31" s="237"/>
    </row>
    <row r="32" spans="1:11" x14ac:dyDescent="0.3">
      <c r="A32" s="238"/>
      <c r="B32" s="518"/>
      <c r="C32" s="519"/>
      <c r="D32" s="519"/>
      <c r="E32" s="519"/>
      <c r="F32" s="519"/>
      <c r="G32" s="520"/>
      <c r="H32" s="239"/>
      <c r="I32" s="237"/>
      <c r="J32" s="237"/>
      <c r="K32" s="237"/>
    </row>
    <row r="33" spans="1:11" x14ac:dyDescent="0.3">
      <c r="A33" s="136"/>
      <c r="B33" s="518"/>
      <c r="C33" s="519"/>
      <c r="D33" s="519"/>
      <c r="E33" s="519"/>
      <c r="F33" s="519"/>
      <c r="G33" s="520"/>
      <c r="H33" s="216"/>
      <c r="I33" s="212"/>
      <c r="J33" s="212"/>
      <c r="K33" s="212"/>
    </row>
    <row r="34" spans="1:11" x14ac:dyDescent="0.3">
      <c r="A34" s="136"/>
      <c r="B34" s="213"/>
      <c r="C34" s="214"/>
      <c r="D34" s="214"/>
      <c r="E34" s="214"/>
      <c r="F34" s="214"/>
      <c r="G34" s="215"/>
      <c r="H34" s="216"/>
      <c r="I34" s="212"/>
      <c r="J34" s="212"/>
      <c r="K34" s="212"/>
    </row>
    <row r="35" spans="1:11" x14ac:dyDescent="0.3">
      <c r="A35" s="136"/>
      <c r="B35" s="213"/>
      <c r="C35" s="214"/>
      <c r="D35" s="214"/>
      <c r="E35" s="214"/>
      <c r="F35" s="214"/>
      <c r="G35" s="215"/>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477" t="s">
        <v>144</v>
      </c>
      <c r="D38" s="477"/>
      <c r="E38" s="477"/>
      <c r="F38" s="477"/>
      <c r="G38" s="478"/>
      <c r="H38" s="406" t="s">
        <v>31</v>
      </c>
      <c r="I38" s="407"/>
      <c r="J38" s="501">
        <f xml:space="preserve"> +SUM(K22+0)</f>
        <v>90500</v>
      </c>
      <c r="K38" s="502"/>
    </row>
    <row r="39" spans="1:11" x14ac:dyDescent="0.3">
      <c r="A39" s="11"/>
      <c r="B39" s="100"/>
      <c r="C39" s="479"/>
      <c r="D39" s="479"/>
      <c r="E39" s="479"/>
      <c r="F39" s="479"/>
      <c r="G39" s="480"/>
      <c r="H39" s="50" t="s">
        <v>32</v>
      </c>
      <c r="I39" s="38">
        <v>0.09</v>
      </c>
      <c r="J39" s="501">
        <f>K22 * I39</f>
        <v>8145</v>
      </c>
      <c r="K39" s="502"/>
    </row>
    <row r="40" spans="1:11" x14ac:dyDescent="0.3">
      <c r="A40" s="11"/>
      <c r="B40" s="100"/>
      <c r="C40" s="240"/>
      <c r="D40" s="240"/>
      <c r="E40" s="240"/>
      <c r="F40" s="240"/>
      <c r="G40" s="241"/>
      <c r="H40" s="50" t="s">
        <v>33</v>
      </c>
      <c r="I40" s="38">
        <v>0.09</v>
      </c>
      <c r="J40" s="501">
        <f>K22 * I40</f>
        <v>8145</v>
      </c>
      <c r="K40" s="502"/>
    </row>
    <row r="41" spans="1:11" x14ac:dyDescent="0.3">
      <c r="A41" s="5"/>
      <c r="B41" s="2"/>
      <c r="C41" s="218"/>
      <c r="D41" s="218"/>
      <c r="E41" s="218"/>
      <c r="F41" s="218"/>
      <c r="G41" s="223"/>
      <c r="H41" s="49" t="s">
        <v>34</v>
      </c>
      <c r="I41" s="243"/>
      <c r="J41" s="503">
        <f>+SUM(J38+J39+J40)</f>
        <v>106790</v>
      </c>
      <c r="K41" s="504"/>
    </row>
    <row r="42" spans="1:11" x14ac:dyDescent="0.3">
      <c r="J42" s="221"/>
      <c r="K42" s="221"/>
    </row>
    <row r="43" spans="1:11" x14ac:dyDescent="0.3">
      <c r="J43" s="221"/>
      <c r="K43" s="221"/>
    </row>
    <row r="44" spans="1:11" x14ac:dyDescent="0.3">
      <c r="A44" s="247" t="s">
        <v>36</v>
      </c>
      <c r="B44" s="247"/>
    </row>
    <row r="45" spans="1:11" x14ac:dyDescent="0.3">
      <c r="A45" s="247" t="s">
        <v>37</v>
      </c>
      <c r="B45" s="247"/>
      <c r="C45" t="s">
        <v>41</v>
      </c>
      <c r="I45" s="405" t="e" vm="2">
        <v>#VALUE!</v>
      </c>
      <c r="J45" s="405"/>
      <c r="K45" s="405"/>
    </row>
    <row r="46" spans="1:11" x14ac:dyDescent="0.3">
      <c r="A46" s="247" t="s">
        <v>38</v>
      </c>
      <c r="B46" s="247"/>
      <c r="C46" s="36" t="s">
        <v>42</v>
      </c>
      <c r="H46" s="119"/>
      <c r="I46" s="405"/>
      <c r="J46" s="405"/>
      <c r="K46" s="405"/>
    </row>
    <row r="47" spans="1:11" x14ac:dyDescent="0.3">
      <c r="A47" s="247" t="s">
        <v>39</v>
      </c>
      <c r="B47" s="247"/>
      <c r="C47" t="s">
        <v>44</v>
      </c>
      <c r="H47" s="119"/>
      <c r="I47" s="405"/>
      <c r="J47" s="405"/>
      <c r="K47" s="405"/>
    </row>
    <row r="48" spans="1:11" x14ac:dyDescent="0.3">
      <c r="A48" s="247" t="s">
        <v>40</v>
      </c>
      <c r="B48" s="247"/>
      <c r="C48" t="s">
        <v>43</v>
      </c>
      <c r="J48" s="54" t="s">
        <v>48</v>
      </c>
    </row>
  </sheetData>
  <mergeCells count="25">
    <mergeCell ref="J40:K40"/>
    <mergeCell ref="J41:K41"/>
    <mergeCell ref="I45:K47"/>
    <mergeCell ref="B22:G33"/>
    <mergeCell ref="A38:B38"/>
    <mergeCell ref="C38:G39"/>
    <mergeCell ref="H38:I38"/>
    <mergeCell ref="J38:K38"/>
    <mergeCell ref="J39:K39"/>
    <mergeCell ref="A12:E12"/>
    <mergeCell ref="G12:K12"/>
    <mergeCell ref="A14:E15"/>
    <mergeCell ref="G14:K15"/>
    <mergeCell ref="G17:H17"/>
    <mergeCell ref="A20:A21"/>
    <mergeCell ref="B20:G21"/>
    <mergeCell ref="H20:H21"/>
    <mergeCell ref="I20:I21"/>
    <mergeCell ref="J20:J21"/>
    <mergeCell ref="A1:E10"/>
    <mergeCell ref="G1:K2"/>
    <mergeCell ref="H5:I5"/>
    <mergeCell ref="H6:J6"/>
    <mergeCell ref="H7:I7"/>
    <mergeCell ref="H9:I9"/>
  </mergeCells>
  <printOptions horizontalCentered="1" verticalCentered="1"/>
  <pageMargins left="0" right="0" top="0" bottom="0" header="0" footer="0"/>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08B4-AFE1-4CB9-A56D-C2D2DAE533CF}">
  <sheetPr>
    <pageSetUpPr fitToPage="1"/>
  </sheetPr>
  <dimension ref="A1:K48"/>
  <sheetViews>
    <sheetView showWhiteSpace="0" view="pageBreakPreview" topLeftCell="A9" zoomScaleNormal="190" zoomScaleSheetLayoutView="100" zoomScalePageLayoutView="85" workbookViewId="0">
      <selection activeCell="G12" sqref="G12:K12"/>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10.33203125" customWidth="1"/>
    <col min="10" max="10" width="11.33203125" customWidth="1"/>
    <col min="11" max="11" width="11.44140625" customWidth="1"/>
    <col min="12" max="12" width="5.44140625" customWidth="1"/>
  </cols>
  <sheetData>
    <row r="1" spans="1:11" ht="14.25" customHeight="1" x14ac:dyDescent="0.3">
      <c r="A1" s="422" t="e" vm="1">
        <v>#VALUE!</v>
      </c>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147</v>
      </c>
      <c r="H4" s="171"/>
      <c r="I4" s="256"/>
      <c r="J4" s="9"/>
      <c r="K4" s="10"/>
    </row>
    <row r="5" spans="1:11" ht="14.4" customHeight="1" x14ac:dyDescent="0.3">
      <c r="A5" s="422"/>
      <c r="B5" s="422"/>
      <c r="C5" s="422"/>
      <c r="D5" s="422"/>
      <c r="E5" s="422"/>
      <c r="G5" s="49" t="s">
        <v>2</v>
      </c>
      <c r="H5" s="456" t="s">
        <v>148</v>
      </c>
      <c r="I5" s="456"/>
      <c r="J5" s="2"/>
      <c r="K5" s="4"/>
    </row>
    <row r="6" spans="1:11" ht="14.25" customHeight="1" x14ac:dyDescent="0.3">
      <c r="A6" s="422"/>
      <c r="B6" s="422"/>
      <c r="C6" s="422"/>
      <c r="D6" s="422"/>
      <c r="E6" s="422"/>
      <c r="G6" s="251" t="s">
        <v>23</v>
      </c>
      <c r="H6" s="452">
        <v>57255127100174</v>
      </c>
      <c r="I6" s="452"/>
      <c r="J6" s="452"/>
      <c r="K6" s="10"/>
    </row>
    <row r="7" spans="1:11" ht="14.4" customHeight="1" x14ac:dyDescent="0.3">
      <c r="A7" s="422"/>
      <c r="B7" s="422"/>
      <c r="C7" s="422"/>
      <c r="D7" s="422"/>
      <c r="E7" s="422"/>
      <c r="G7" s="49" t="s">
        <v>2</v>
      </c>
      <c r="H7" s="469">
        <v>45878</v>
      </c>
      <c r="I7" s="470"/>
      <c r="J7" s="2"/>
      <c r="K7" s="4"/>
    </row>
    <row r="8" spans="1:11" ht="14.4" customHeight="1" x14ac:dyDescent="0.3">
      <c r="A8" s="422"/>
      <c r="B8" s="422"/>
      <c r="C8" s="422"/>
      <c r="D8" s="422"/>
      <c r="E8" s="422"/>
      <c r="G8" s="251" t="s">
        <v>149</v>
      </c>
      <c r="H8" s="256"/>
      <c r="I8" s="125"/>
      <c r="J8" s="9"/>
      <c r="K8" s="10"/>
    </row>
    <row r="9" spans="1:11" ht="14.4" customHeight="1" x14ac:dyDescent="0.3">
      <c r="A9" s="422"/>
      <c r="B9" s="422"/>
      <c r="C9" s="422"/>
      <c r="D9" s="422"/>
      <c r="E9" s="422"/>
      <c r="G9" s="49" t="s">
        <v>2</v>
      </c>
      <c r="H9" s="456" t="s">
        <v>148</v>
      </c>
      <c r="I9" s="456"/>
      <c r="J9" s="2"/>
      <c r="K9" s="4"/>
    </row>
    <row r="10" spans="1:11" x14ac:dyDescent="0.3">
      <c r="A10" s="422"/>
      <c r="B10" s="422"/>
      <c r="C10" s="422"/>
      <c r="D10" s="422"/>
      <c r="E10" s="422"/>
      <c r="F10" s="100"/>
      <c r="G10" s="128" t="s">
        <v>152</v>
      </c>
      <c r="H10" s="129"/>
      <c r="I10" s="129"/>
      <c r="J10" s="129" t="s">
        <v>153</v>
      </c>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256"/>
      <c r="D13" s="256"/>
      <c r="E13" s="122"/>
      <c r="G13" s="251"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257"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254"/>
      <c r="D18" s="254"/>
      <c r="E18" s="124"/>
      <c r="G18" s="49" t="s">
        <v>75</v>
      </c>
      <c r="H18" s="2"/>
      <c r="I18" s="254"/>
      <c r="J18" s="2"/>
      <c r="K18" s="4"/>
    </row>
    <row r="20" spans="1:11" x14ac:dyDescent="0.3">
      <c r="A20" s="423" t="s">
        <v>25</v>
      </c>
      <c r="B20" s="467" t="s">
        <v>30</v>
      </c>
      <c r="C20" s="418"/>
      <c r="D20" s="418"/>
      <c r="E20" s="418"/>
      <c r="F20" s="418"/>
      <c r="G20" s="419"/>
      <c r="H20" s="419" t="s">
        <v>29</v>
      </c>
      <c r="I20" s="437" t="s">
        <v>104</v>
      </c>
      <c r="J20" s="499" t="s">
        <v>101</v>
      </c>
      <c r="K20" s="252" t="s">
        <v>26</v>
      </c>
    </row>
    <row r="21" spans="1:11" x14ac:dyDescent="0.3">
      <c r="A21" s="424"/>
      <c r="B21" s="468"/>
      <c r="C21" s="420"/>
      <c r="D21" s="420"/>
      <c r="E21" s="420"/>
      <c r="F21" s="420"/>
      <c r="G21" s="421"/>
      <c r="H21" s="421"/>
      <c r="I21" s="449"/>
      <c r="J21" s="500"/>
      <c r="K21" s="253"/>
    </row>
    <row r="22" spans="1:11" ht="14.4" customHeight="1" x14ac:dyDescent="0.3">
      <c r="A22" s="232">
        <v>1</v>
      </c>
      <c r="B22" s="515" t="s">
        <v>145</v>
      </c>
      <c r="C22" s="516"/>
      <c r="D22" s="516"/>
      <c r="E22" s="516"/>
      <c r="F22" s="516"/>
      <c r="G22" s="517"/>
      <c r="H22" s="233">
        <v>6804</v>
      </c>
      <c r="I22" s="232">
        <v>150</v>
      </c>
      <c r="J22" s="160">
        <v>524</v>
      </c>
      <c r="K22" s="168">
        <f>SUM(J22*I22)</f>
        <v>78600</v>
      </c>
    </row>
    <row r="23" spans="1:11" ht="15.6" x14ac:dyDescent="0.3">
      <c r="A23" s="234"/>
      <c r="B23" s="518"/>
      <c r="C23" s="519"/>
      <c r="D23" s="519"/>
      <c r="E23" s="519"/>
      <c r="F23" s="519"/>
      <c r="G23" s="520"/>
      <c r="H23" s="235"/>
      <c r="I23" s="236"/>
      <c r="J23" s="237"/>
      <c r="K23" s="237"/>
    </row>
    <row r="24" spans="1:11" ht="15.6" x14ac:dyDescent="0.3">
      <c r="A24" s="234"/>
      <c r="B24" s="518"/>
      <c r="C24" s="519"/>
      <c r="D24" s="519"/>
      <c r="E24" s="519"/>
      <c r="F24" s="519"/>
      <c r="G24" s="520"/>
      <c r="H24" s="235"/>
      <c r="I24" s="236"/>
      <c r="J24" s="237"/>
      <c r="K24" s="237"/>
    </row>
    <row r="25" spans="1:11" ht="15.6" x14ac:dyDescent="0.3">
      <c r="A25" s="234"/>
      <c r="B25" s="518"/>
      <c r="C25" s="519"/>
      <c r="D25" s="519"/>
      <c r="E25" s="519"/>
      <c r="F25" s="519"/>
      <c r="G25" s="520"/>
      <c r="H25" s="235"/>
      <c r="I25" s="236"/>
      <c r="J25" s="237"/>
      <c r="K25" s="237"/>
    </row>
    <row r="26" spans="1:11" ht="15.6" x14ac:dyDescent="0.3">
      <c r="A26" s="234"/>
      <c r="B26" s="518"/>
      <c r="C26" s="519"/>
      <c r="D26" s="519"/>
      <c r="E26" s="519"/>
      <c r="F26" s="519"/>
      <c r="G26" s="520"/>
      <c r="H26" s="235"/>
      <c r="I26" s="236"/>
      <c r="J26" s="237"/>
      <c r="K26" s="237"/>
    </row>
    <row r="27" spans="1:11" ht="15.6" x14ac:dyDescent="0.3">
      <c r="A27" s="234"/>
      <c r="B27" s="518"/>
      <c r="C27" s="519"/>
      <c r="D27" s="519"/>
      <c r="E27" s="519"/>
      <c r="F27" s="519"/>
      <c r="G27" s="520"/>
      <c r="H27" s="235"/>
      <c r="I27" s="236"/>
      <c r="J27" s="237"/>
      <c r="K27" s="237"/>
    </row>
    <row r="28" spans="1:11" ht="15.6" x14ac:dyDescent="0.3">
      <c r="A28" s="234"/>
      <c r="B28" s="518"/>
      <c r="C28" s="519"/>
      <c r="D28" s="519"/>
      <c r="E28" s="519"/>
      <c r="F28" s="519"/>
      <c r="G28" s="520"/>
      <c r="H28" s="235"/>
      <c r="I28" s="236"/>
      <c r="J28" s="237"/>
      <c r="K28" s="237"/>
    </row>
    <row r="29" spans="1:11" ht="15.6" x14ac:dyDescent="0.3">
      <c r="A29" s="234"/>
      <c r="B29" s="518"/>
      <c r="C29" s="519"/>
      <c r="D29" s="519"/>
      <c r="E29" s="519"/>
      <c r="F29" s="519"/>
      <c r="G29" s="520"/>
      <c r="H29" s="235"/>
      <c r="I29" s="236"/>
      <c r="J29" s="237"/>
      <c r="K29" s="237"/>
    </row>
    <row r="30" spans="1:11" x14ac:dyDescent="0.3">
      <c r="A30" s="238"/>
      <c r="B30" s="518"/>
      <c r="C30" s="519"/>
      <c r="D30" s="519"/>
      <c r="E30" s="519"/>
      <c r="F30" s="519"/>
      <c r="G30" s="520"/>
      <c r="H30" s="239"/>
      <c r="I30" s="237"/>
      <c r="J30" s="237"/>
      <c r="K30" s="237"/>
    </row>
    <row r="31" spans="1:11" x14ac:dyDescent="0.3">
      <c r="A31" s="238"/>
      <c r="B31" s="518"/>
      <c r="C31" s="519"/>
      <c r="D31" s="519"/>
      <c r="E31" s="519"/>
      <c r="F31" s="519"/>
      <c r="G31" s="520"/>
      <c r="H31" s="239"/>
      <c r="I31" s="237"/>
      <c r="J31" s="237"/>
      <c r="K31" s="237"/>
    </row>
    <row r="32" spans="1:11" x14ac:dyDescent="0.3">
      <c r="A32" s="238"/>
      <c r="B32" s="518"/>
      <c r="C32" s="519"/>
      <c r="D32" s="519"/>
      <c r="E32" s="519"/>
      <c r="F32" s="519"/>
      <c r="G32" s="520"/>
      <c r="H32" s="239"/>
      <c r="I32" s="237"/>
      <c r="J32" s="237"/>
      <c r="K32" s="237"/>
    </row>
    <row r="33" spans="1:11" x14ac:dyDescent="0.3">
      <c r="A33" s="136"/>
      <c r="B33" s="518"/>
      <c r="C33" s="519"/>
      <c r="D33" s="519"/>
      <c r="E33" s="519"/>
      <c r="F33" s="519"/>
      <c r="G33" s="520"/>
      <c r="H33" s="216"/>
      <c r="I33" s="212"/>
      <c r="J33" s="212"/>
      <c r="K33" s="212"/>
    </row>
    <row r="34" spans="1:11" x14ac:dyDescent="0.3">
      <c r="A34" s="136"/>
      <c r="B34" s="213"/>
      <c r="C34" s="214"/>
      <c r="D34" s="214"/>
      <c r="E34" s="214"/>
      <c r="F34" s="214"/>
      <c r="G34" s="215"/>
      <c r="H34" s="216"/>
      <c r="I34" s="212"/>
      <c r="J34" s="212"/>
      <c r="K34" s="212"/>
    </row>
    <row r="35" spans="1:11" x14ac:dyDescent="0.3">
      <c r="A35" s="136"/>
      <c r="B35" s="213"/>
      <c r="C35" s="214"/>
      <c r="D35" s="214"/>
      <c r="E35" s="214"/>
      <c r="F35" s="214"/>
      <c r="G35" s="215"/>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477" t="s">
        <v>146</v>
      </c>
      <c r="D38" s="477"/>
      <c r="E38" s="477"/>
      <c r="F38" s="477"/>
      <c r="G38" s="478"/>
      <c r="H38" s="406" t="s">
        <v>31</v>
      </c>
      <c r="I38" s="407"/>
      <c r="J38" s="501">
        <f xml:space="preserve"> +SUM(K22+0)</f>
        <v>78600</v>
      </c>
      <c r="K38" s="502"/>
    </row>
    <row r="39" spans="1:11" x14ac:dyDescent="0.3">
      <c r="A39" s="11"/>
      <c r="B39" s="100"/>
      <c r="C39" s="479"/>
      <c r="D39" s="479"/>
      <c r="E39" s="479"/>
      <c r="F39" s="479"/>
      <c r="G39" s="480"/>
      <c r="H39" s="50" t="s">
        <v>32</v>
      </c>
      <c r="I39" s="38">
        <v>0.09</v>
      </c>
      <c r="J39" s="501">
        <f>K22 * I39</f>
        <v>7074</v>
      </c>
      <c r="K39" s="502"/>
    </row>
    <row r="40" spans="1:11" x14ac:dyDescent="0.3">
      <c r="A40" s="11"/>
      <c r="B40" s="100"/>
      <c r="C40" s="240"/>
      <c r="D40" s="240"/>
      <c r="E40" s="240"/>
      <c r="F40" s="240"/>
      <c r="G40" s="241"/>
      <c r="H40" s="50" t="s">
        <v>33</v>
      </c>
      <c r="I40" s="38">
        <v>0.09</v>
      </c>
      <c r="J40" s="501">
        <f>K22 * I40</f>
        <v>7074</v>
      </c>
      <c r="K40" s="502"/>
    </row>
    <row r="41" spans="1:11" x14ac:dyDescent="0.3">
      <c r="A41" s="5"/>
      <c r="B41" s="2"/>
      <c r="C41" s="218"/>
      <c r="D41" s="218"/>
      <c r="E41" s="218"/>
      <c r="F41" s="218"/>
      <c r="G41" s="223"/>
      <c r="H41" s="49" t="s">
        <v>34</v>
      </c>
      <c r="I41" s="255"/>
      <c r="J41" s="503">
        <f>+SUM(J38+J39+J40)</f>
        <v>92748</v>
      </c>
      <c r="K41" s="504"/>
    </row>
    <row r="42" spans="1:11" x14ac:dyDescent="0.3">
      <c r="J42" s="221"/>
      <c r="K42" s="221"/>
    </row>
    <row r="43" spans="1:11" x14ac:dyDescent="0.3">
      <c r="J43" s="221"/>
      <c r="K43" s="221"/>
    </row>
    <row r="44" spans="1:11" x14ac:dyDescent="0.3">
      <c r="A44" s="250" t="s">
        <v>36</v>
      </c>
      <c r="B44" s="250"/>
    </row>
    <row r="45" spans="1:11" x14ac:dyDescent="0.3">
      <c r="A45" s="250" t="s">
        <v>37</v>
      </c>
      <c r="B45" s="250"/>
      <c r="C45" t="s">
        <v>41</v>
      </c>
      <c r="I45" s="405" t="e" vm="2">
        <v>#VALUE!</v>
      </c>
      <c r="J45" s="405"/>
      <c r="K45" s="405"/>
    </row>
    <row r="46" spans="1:11" x14ac:dyDescent="0.3">
      <c r="A46" s="250" t="s">
        <v>38</v>
      </c>
      <c r="B46" s="250"/>
      <c r="C46" s="36" t="s">
        <v>42</v>
      </c>
      <c r="H46" s="119"/>
      <c r="I46" s="405"/>
      <c r="J46" s="405"/>
      <c r="K46" s="405"/>
    </row>
    <row r="47" spans="1:11" x14ac:dyDescent="0.3">
      <c r="A47" s="250" t="s">
        <v>39</v>
      </c>
      <c r="B47" s="250"/>
      <c r="C47" t="s">
        <v>44</v>
      </c>
      <c r="H47" s="119"/>
      <c r="I47" s="405"/>
      <c r="J47" s="405"/>
      <c r="K47" s="405"/>
    </row>
    <row r="48" spans="1:11" x14ac:dyDescent="0.3">
      <c r="A48" s="250" t="s">
        <v>40</v>
      </c>
      <c r="B48" s="250"/>
      <c r="C48" t="s">
        <v>43</v>
      </c>
      <c r="J48" s="54" t="s">
        <v>48</v>
      </c>
    </row>
  </sheetData>
  <mergeCells count="25">
    <mergeCell ref="A1:E10"/>
    <mergeCell ref="G1:K2"/>
    <mergeCell ref="H5:I5"/>
    <mergeCell ref="H6:J6"/>
    <mergeCell ref="H7:I7"/>
    <mergeCell ref="H9:I9"/>
    <mergeCell ref="A20:A21"/>
    <mergeCell ref="B20:G21"/>
    <mergeCell ref="H20:H21"/>
    <mergeCell ref="I20:I21"/>
    <mergeCell ref="J20:J21"/>
    <mergeCell ref="A12:E12"/>
    <mergeCell ref="G12:K12"/>
    <mergeCell ref="A14:E15"/>
    <mergeCell ref="G14:K15"/>
    <mergeCell ref="G17:H17"/>
    <mergeCell ref="J40:K40"/>
    <mergeCell ref="J41:K41"/>
    <mergeCell ref="I45:K47"/>
    <mergeCell ref="B22:G33"/>
    <mergeCell ref="A38:B38"/>
    <mergeCell ref="C38:G39"/>
    <mergeCell ref="H38:I38"/>
    <mergeCell ref="J38:K38"/>
    <mergeCell ref="J39:K39"/>
  </mergeCells>
  <printOptions horizontalCentered="1" verticalCentered="1"/>
  <pageMargins left="0" right="0" top="0" bottom="0" header="0" footer="0"/>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7324B-4CCB-4361-977E-1E0EAC80FF81}">
  <sheetPr>
    <pageSetUpPr fitToPage="1"/>
  </sheetPr>
  <dimension ref="A1:K48"/>
  <sheetViews>
    <sheetView showWhiteSpace="0" view="pageLayout" topLeftCell="A6" zoomScaleNormal="100" zoomScaleSheetLayoutView="100" workbookViewId="0">
      <selection activeCell="G7" sqref="G7"/>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10.33203125" customWidth="1"/>
    <col min="10" max="10" width="11.33203125" customWidth="1"/>
    <col min="11" max="11" width="11.44140625" customWidth="1"/>
    <col min="12" max="12" width="5.44140625" customWidth="1"/>
  </cols>
  <sheetData>
    <row r="1" spans="1:11" ht="14.25" customHeight="1" x14ac:dyDescent="0.3">
      <c r="A1" s="422" t="e" vm="1">
        <v>#VALUE!</v>
      </c>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154</v>
      </c>
      <c r="H4" s="171"/>
      <c r="I4" s="264"/>
      <c r="J4" s="9"/>
      <c r="K4" s="10"/>
    </row>
    <row r="5" spans="1:11" ht="14.4" customHeight="1" x14ac:dyDescent="0.3">
      <c r="A5" s="422"/>
      <c r="B5" s="422"/>
      <c r="C5" s="422"/>
      <c r="D5" s="422"/>
      <c r="E5" s="422"/>
      <c r="G5" s="49" t="s">
        <v>2</v>
      </c>
      <c r="H5" s="456" t="s">
        <v>164</v>
      </c>
      <c r="I5" s="456"/>
      <c r="J5" s="2"/>
      <c r="K5" s="4"/>
    </row>
    <row r="6" spans="1:11" ht="14.25" customHeight="1" x14ac:dyDescent="0.3">
      <c r="A6" s="422"/>
      <c r="B6" s="422"/>
      <c r="C6" s="422"/>
      <c r="D6" s="422"/>
      <c r="E6" s="422"/>
      <c r="G6" s="262" t="s">
        <v>23</v>
      </c>
      <c r="H6" s="452">
        <v>55256117101444</v>
      </c>
      <c r="I6" s="452"/>
      <c r="J6" s="452"/>
      <c r="K6" s="10"/>
    </row>
    <row r="7" spans="1:11" ht="14.4" customHeight="1" x14ac:dyDescent="0.3">
      <c r="A7" s="422"/>
      <c r="B7" s="422"/>
      <c r="C7" s="422"/>
      <c r="D7" s="422"/>
      <c r="E7" s="422"/>
      <c r="G7" s="49" t="s">
        <v>2</v>
      </c>
      <c r="H7" s="469">
        <v>45940</v>
      </c>
      <c r="I7" s="470"/>
      <c r="J7" s="2"/>
      <c r="K7" s="4"/>
    </row>
    <row r="8" spans="1:11" ht="14.4" customHeight="1" x14ac:dyDescent="0.3">
      <c r="A8" s="422"/>
      <c r="B8" s="422"/>
      <c r="C8" s="422"/>
      <c r="D8" s="422"/>
      <c r="E8" s="422"/>
      <c r="G8" s="262" t="s">
        <v>155</v>
      </c>
      <c r="H8" s="264"/>
      <c r="I8" s="125"/>
      <c r="J8" s="9"/>
      <c r="K8" s="10"/>
    </row>
    <row r="9" spans="1:11" ht="14.4" customHeight="1" x14ac:dyDescent="0.3">
      <c r="A9" s="422"/>
      <c r="B9" s="422"/>
      <c r="C9" s="422"/>
      <c r="D9" s="422"/>
      <c r="E9" s="422"/>
      <c r="G9" s="49" t="s">
        <v>2</v>
      </c>
      <c r="H9" s="456" t="s">
        <v>164</v>
      </c>
      <c r="I9" s="456"/>
      <c r="J9" s="2"/>
      <c r="K9" s="4"/>
    </row>
    <row r="10" spans="1:11" x14ac:dyDescent="0.3">
      <c r="A10" s="422"/>
      <c r="B10" s="422"/>
      <c r="C10" s="422"/>
      <c r="D10" s="422"/>
      <c r="E10" s="422"/>
      <c r="F10" s="100"/>
      <c r="G10" s="128" t="s">
        <v>196</v>
      </c>
      <c r="H10" s="129"/>
      <c r="I10" s="129"/>
      <c r="J10" s="129" t="s">
        <v>197</v>
      </c>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264"/>
      <c r="D13" s="264"/>
      <c r="E13" s="122"/>
      <c r="G13" s="262"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265"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258"/>
      <c r="D18" s="258"/>
      <c r="E18" s="124"/>
      <c r="G18" s="49" t="s">
        <v>75</v>
      </c>
      <c r="H18" s="2"/>
      <c r="I18" s="258"/>
      <c r="J18" s="2"/>
      <c r="K18" s="4"/>
    </row>
    <row r="20" spans="1:11" x14ac:dyDescent="0.3">
      <c r="A20" s="423" t="s">
        <v>25</v>
      </c>
      <c r="B20" s="467" t="s">
        <v>30</v>
      </c>
      <c r="C20" s="418"/>
      <c r="D20" s="418"/>
      <c r="E20" s="418"/>
      <c r="F20" s="418"/>
      <c r="G20" s="419"/>
      <c r="H20" s="419" t="s">
        <v>29</v>
      </c>
      <c r="I20" s="437" t="s">
        <v>60</v>
      </c>
      <c r="J20" s="499" t="s">
        <v>101</v>
      </c>
      <c r="K20" s="260" t="s">
        <v>26</v>
      </c>
    </row>
    <row r="21" spans="1:11" x14ac:dyDescent="0.3">
      <c r="A21" s="424"/>
      <c r="B21" s="468"/>
      <c r="C21" s="420"/>
      <c r="D21" s="420"/>
      <c r="E21" s="420"/>
      <c r="F21" s="420"/>
      <c r="G21" s="421"/>
      <c r="H21" s="421"/>
      <c r="I21" s="449"/>
      <c r="J21" s="500"/>
      <c r="K21" s="261"/>
    </row>
    <row r="22" spans="1:11" ht="14.4" customHeight="1" x14ac:dyDescent="0.3">
      <c r="A22" s="232">
        <v>1</v>
      </c>
      <c r="B22" s="515" t="s">
        <v>158</v>
      </c>
      <c r="C22" s="516"/>
      <c r="D22" s="516"/>
      <c r="E22" s="516"/>
      <c r="F22" s="516"/>
      <c r="G22" s="517"/>
      <c r="H22" s="233">
        <v>7318</v>
      </c>
      <c r="I22" s="232">
        <v>400</v>
      </c>
      <c r="J22" s="160">
        <v>49.5</v>
      </c>
      <c r="K22" s="168">
        <f>SUM(J22*I22)</f>
        <v>19800</v>
      </c>
    </row>
    <row r="23" spans="1:11" ht="15.6" x14ac:dyDescent="0.3">
      <c r="A23" s="234"/>
      <c r="B23" s="518"/>
      <c r="C23" s="519"/>
      <c r="D23" s="519"/>
      <c r="E23" s="519"/>
      <c r="F23" s="519"/>
      <c r="G23" s="520"/>
      <c r="H23" s="235"/>
      <c r="I23" s="236"/>
      <c r="J23" s="237"/>
      <c r="K23" s="237"/>
    </row>
    <row r="24" spans="1:11" ht="15.6" x14ac:dyDescent="0.3">
      <c r="A24" s="234"/>
      <c r="B24" s="518"/>
      <c r="C24" s="519"/>
      <c r="D24" s="519"/>
      <c r="E24" s="519"/>
      <c r="F24" s="519"/>
      <c r="G24" s="520"/>
      <c r="H24" s="235"/>
      <c r="I24" s="236"/>
      <c r="J24" s="237"/>
      <c r="K24" s="237"/>
    </row>
    <row r="25" spans="1:11" ht="15.6" x14ac:dyDescent="0.3">
      <c r="A25" s="234"/>
      <c r="B25" s="518"/>
      <c r="C25" s="519"/>
      <c r="D25" s="519"/>
      <c r="E25" s="519"/>
      <c r="F25" s="519"/>
      <c r="G25" s="520"/>
      <c r="H25" s="235"/>
      <c r="I25" s="236"/>
      <c r="J25" s="237"/>
      <c r="K25" s="237"/>
    </row>
    <row r="26" spans="1:11" ht="15.6" x14ac:dyDescent="0.3">
      <c r="A26" s="234"/>
      <c r="B26" s="518"/>
      <c r="C26" s="519"/>
      <c r="D26" s="519"/>
      <c r="E26" s="519"/>
      <c r="F26" s="519"/>
      <c r="G26" s="520"/>
      <c r="H26" s="235"/>
      <c r="I26" s="236"/>
      <c r="J26" s="237"/>
      <c r="K26" s="237"/>
    </row>
    <row r="27" spans="1:11" ht="15.6" x14ac:dyDescent="0.3">
      <c r="A27" s="234"/>
      <c r="B27" s="518"/>
      <c r="C27" s="519"/>
      <c r="D27" s="519"/>
      <c r="E27" s="519"/>
      <c r="F27" s="519"/>
      <c r="G27" s="520"/>
      <c r="H27" s="235"/>
      <c r="I27" s="236"/>
      <c r="J27" s="237"/>
      <c r="K27" s="237"/>
    </row>
    <row r="28" spans="1:11" ht="15.6" x14ac:dyDescent="0.3">
      <c r="A28" s="234"/>
      <c r="B28" s="518"/>
      <c r="C28" s="519"/>
      <c r="D28" s="519"/>
      <c r="E28" s="519"/>
      <c r="F28" s="519"/>
      <c r="G28" s="520"/>
      <c r="H28" s="235"/>
      <c r="I28" s="236"/>
      <c r="J28" s="237"/>
      <c r="K28" s="237"/>
    </row>
    <row r="29" spans="1:11" ht="15.6" x14ac:dyDescent="0.3">
      <c r="A29" s="234"/>
      <c r="B29" s="518"/>
      <c r="C29" s="519"/>
      <c r="D29" s="519"/>
      <c r="E29" s="519"/>
      <c r="F29" s="519"/>
      <c r="G29" s="520"/>
      <c r="H29" s="235"/>
      <c r="I29" s="236"/>
      <c r="J29" s="237"/>
      <c r="K29" s="237"/>
    </row>
    <row r="30" spans="1:11" x14ac:dyDescent="0.3">
      <c r="A30" s="238"/>
      <c r="B30" s="518"/>
      <c r="C30" s="519"/>
      <c r="D30" s="519"/>
      <c r="E30" s="519"/>
      <c r="F30" s="519"/>
      <c r="G30" s="520"/>
      <c r="H30" s="239"/>
      <c r="I30" s="237"/>
      <c r="J30" s="237"/>
      <c r="K30" s="237"/>
    </row>
    <row r="31" spans="1:11" x14ac:dyDescent="0.3">
      <c r="A31" s="238"/>
      <c r="B31" s="518"/>
      <c r="C31" s="519"/>
      <c r="D31" s="519"/>
      <c r="E31" s="519"/>
      <c r="F31" s="519"/>
      <c r="G31" s="520"/>
      <c r="H31" s="239"/>
      <c r="I31" s="237"/>
      <c r="J31" s="237"/>
      <c r="K31" s="237"/>
    </row>
    <row r="32" spans="1:11" x14ac:dyDescent="0.3">
      <c r="A32" s="238"/>
      <c r="B32" s="518"/>
      <c r="C32" s="519"/>
      <c r="D32" s="519"/>
      <c r="E32" s="519"/>
      <c r="F32" s="519"/>
      <c r="G32" s="520"/>
      <c r="H32" s="239"/>
      <c r="I32" s="237"/>
      <c r="J32" s="237"/>
      <c r="K32" s="237"/>
    </row>
    <row r="33" spans="1:11" x14ac:dyDescent="0.3">
      <c r="A33" s="136"/>
      <c r="B33" s="518"/>
      <c r="C33" s="519"/>
      <c r="D33" s="519"/>
      <c r="E33" s="519"/>
      <c r="F33" s="519"/>
      <c r="G33" s="520"/>
      <c r="H33" s="216"/>
      <c r="I33" s="212"/>
      <c r="J33" s="212"/>
      <c r="K33" s="212"/>
    </row>
    <row r="34" spans="1:11" x14ac:dyDescent="0.3">
      <c r="A34" s="136"/>
      <c r="B34" s="213"/>
      <c r="C34" s="214"/>
      <c r="D34" s="214"/>
      <c r="E34" s="214"/>
      <c r="F34" s="214"/>
      <c r="G34" s="215"/>
      <c r="H34" s="216"/>
      <c r="I34" s="212"/>
      <c r="J34" s="212"/>
      <c r="K34" s="212"/>
    </row>
    <row r="35" spans="1:11" x14ac:dyDescent="0.3">
      <c r="A35" s="136"/>
      <c r="B35" s="213"/>
      <c r="C35" s="214"/>
      <c r="D35" s="214"/>
      <c r="E35" s="214"/>
      <c r="F35" s="214"/>
      <c r="G35" s="215"/>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477" t="s">
        <v>159</v>
      </c>
      <c r="D38" s="477"/>
      <c r="E38" s="477"/>
      <c r="F38" s="477"/>
      <c r="G38" s="478"/>
      <c r="H38" s="406" t="s">
        <v>31</v>
      </c>
      <c r="I38" s="407"/>
      <c r="J38" s="501">
        <f xml:space="preserve"> +SUM(K22+0)</f>
        <v>19800</v>
      </c>
      <c r="K38" s="502"/>
    </row>
    <row r="39" spans="1:11" x14ac:dyDescent="0.3">
      <c r="A39" s="11"/>
      <c r="B39" s="100"/>
      <c r="C39" s="479"/>
      <c r="D39" s="479"/>
      <c r="E39" s="479"/>
      <c r="F39" s="479"/>
      <c r="G39" s="480"/>
      <c r="H39" s="50" t="s">
        <v>32</v>
      </c>
      <c r="I39" s="38">
        <v>0.09</v>
      </c>
      <c r="J39" s="501">
        <f>K22 * I39</f>
        <v>1782</v>
      </c>
      <c r="K39" s="502"/>
    </row>
    <row r="40" spans="1:11" x14ac:dyDescent="0.3">
      <c r="A40" s="11"/>
      <c r="B40" s="100"/>
      <c r="C40" s="240"/>
      <c r="D40" s="240"/>
      <c r="E40" s="240"/>
      <c r="F40" s="240"/>
      <c r="G40" s="241"/>
      <c r="H40" s="50" t="s">
        <v>33</v>
      </c>
      <c r="I40" s="38">
        <v>0.09</v>
      </c>
      <c r="J40" s="501">
        <f>K22 * I40</f>
        <v>1782</v>
      </c>
      <c r="K40" s="502"/>
    </row>
    <row r="41" spans="1:11" x14ac:dyDescent="0.3">
      <c r="A41" s="5"/>
      <c r="B41" s="2"/>
      <c r="C41" s="218"/>
      <c r="D41" s="218"/>
      <c r="E41" s="218"/>
      <c r="F41" s="218"/>
      <c r="G41" s="223"/>
      <c r="H41" s="49" t="s">
        <v>34</v>
      </c>
      <c r="I41" s="259"/>
      <c r="J41" s="503">
        <f>+SUM(J38+J39+J40)</f>
        <v>23364</v>
      </c>
      <c r="K41" s="504"/>
    </row>
    <row r="42" spans="1:11" x14ac:dyDescent="0.3">
      <c r="J42" s="221"/>
      <c r="K42" s="221"/>
    </row>
    <row r="43" spans="1:11" x14ac:dyDescent="0.3">
      <c r="J43" s="221"/>
      <c r="K43" s="221"/>
    </row>
    <row r="44" spans="1:11" x14ac:dyDescent="0.3">
      <c r="A44" s="263" t="s">
        <v>36</v>
      </c>
      <c r="B44" s="263"/>
    </row>
    <row r="45" spans="1:11" x14ac:dyDescent="0.3">
      <c r="A45" s="263" t="s">
        <v>37</v>
      </c>
      <c r="B45" s="263"/>
      <c r="C45" t="s">
        <v>41</v>
      </c>
      <c r="I45" s="405" t="e" vm="2">
        <v>#VALUE!</v>
      </c>
      <c r="J45" s="405"/>
      <c r="K45" s="405"/>
    </row>
    <row r="46" spans="1:11" x14ac:dyDescent="0.3">
      <c r="A46" s="263" t="s">
        <v>38</v>
      </c>
      <c r="B46" s="263"/>
      <c r="C46" s="36" t="s">
        <v>42</v>
      </c>
      <c r="H46" s="119"/>
      <c r="I46" s="405"/>
      <c r="J46" s="405"/>
      <c r="K46" s="405"/>
    </row>
    <row r="47" spans="1:11" x14ac:dyDescent="0.3">
      <c r="A47" s="263" t="s">
        <v>39</v>
      </c>
      <c r="B47" s="263"/>
      <c r="C47" t="s">
        <v>44</v>
      </c>
      <c r="H47" s="119"/>
      <c r="I47" s="405"/>
      <c r="J47" s="405"/>
      <c r="K47" s="405"/>
    </row>
    <row r="48" spans="1:11" x14ac:dyDescent="0.3">
      <c r="A48" s="263" t="s">
        <v>40</v>
      </c>
      <c r="B48" s="263"/>
      <c r="C48" t="s">
        <v>43</v>
      </c>
      <c r="J48" s="54" t="s">
        <v>48</v>
      </c>
    </row>
  </sheetData>
  <mergeCells count="25">
    <mergeCell ref="J40:K40"/>
    <mergeCell ref="J41:K41"/>
    <mergeCell ref="I45:K47"/>
    <mergeCell ref="B22:G33"/>
    <mergeCell ref="A38:B38"/>
    <mergeCell ref="C38:G39"/>
    <mergeCell ref="H38:I38"/>
    <mergeCell ref="J38:K38"/>
    <mergeCell ref="J39:K39"/>
    <mergeCell ref="A12:E12"/>
    <mergeCell ref="G12:K12"/>
    <mergeCell ref="A14:E15"/>
    <mergeCell ref="G14:K15"/>
    <mergeCell ref="G17:H17"/>
    <mergeCell ref="A20:A21"/>
    <mergeCell ref="B20:G21"/>
    <mergeCell ref="H20:H21"/>
    <mergeCell ref="I20:I21"/>
    <mergeCell ref="J20:J21"/>
    <mergeCell ref="A1:E10"/>
    <mergeCell ref="G1:K2"/>
    <mergeCell ref="H5:I5"/>
    <mergeCell ref="H6:J6"/>
    <mergeCell ref="H7:I7"/>
    <mergeCell ref="H9:I9"/>
  </mergeCells>
  <printOptions horizontalCentered="1" verticalCentered="1"/>
  <pageMargins left="0" right="0" top="0" bottom="0" header="0" footer="0"/>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FEC8-CF3F-46C9-903B-28DDE09AF227}">
  <sheetPr>
    <pageSetUpPr fitToPage="1"/>
  </sheetPr>
  <dimension ref="A1:K48"/>
  <sheetViews>
    <sheetView showWhiteSpace="0" view="pageBreakPreview" topLeftCell="A10" zoomScale="115" zoomScaleNormal="190" zoomScaleSheetLayoutView="115" zoomScalePageLayoutView="85" workbookViewId="0">
      <selection activeCell="F2" sqref="F2"/>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10" width="11.33203125" customWidth="1"/>
    <col min="11" max="11" width="11.44140625" customWidth="1"/>
    <col min="12" max="12" width="5.44140625" customWidth="1"/>
  </cols>
  <sheetData>
    <row r="1" spans="1:11" ht="14.25" customHeight="1" x14ac:dyDescent="0.3">
      <c r="A1" s="422" t="e" vm="1">
        <v>#VALUE!</v>
      </c>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160</v>
      </c>
      <c r="H4" s="171"/>
      <c r="I4" s="264"/>
      <c r="J4" s="9"/>
      <c r="K4" s="10"/>
    </row>
    <row r="5" spans="1:11" ht="14.4" customHeight="1" x14ac:dyDescent="0.3">
      <c r="A5" s="422"/>
      <c r="B5" s="422"/>
      <c r="C5" s="422"/>
      <c r="D5" s="422"/>
      <c r="E5" s="422"/>
      <c r="G5" s="49" t="s">
        <v>2</v>
      </c>
      <c r="H5" s="456" t="s">
        <v>167</v>
      </c>
      <c r="I5" s="456"/>
      <c r="J5" s="2"/>
      <c r="K5" s="4"/>
    </row>
    <row r="6" spans="1:11" ht="14.25" customHeight="1" x14ac:dyDescent="0.3">
      <c r="A6" s="422"/>
      <c r="B6" s="422"/>
      <c r="C6" s="422"/>
      <c r="D6" s="422"/>
      <c r="E6" s="422"/>
      <c r="G6" s="262" t="s">
        <v>23</v>
      </c>
      <c r="H6" s="452">
        <v>55256003101443</v>
      </c>
      <c r="I6" s="452"/>
      <c r="J6" s="452"/>
      <c r="K6" s="10"/>
    </row>
    <row r="7" spans="1:11" ht="14.4" customHeight="1" x14ac:dyDescent="0.3">
      <c r="A7" s="422"/>
      <c r="B7" s="422"/>
      <c r="C7" s="422"/>
      <c r="D7" s="422"/>
      <c r="E7" s="422"/>
      <c r="G7" s="49" t="s">
        <v>2</v>
      </c>
      <c r="H7" s="469">
        <v>45940</v>
      </c>
      <c r="I7" s="470"/>
      <c r="J7" s="2"/>
      <c r="K7" s="4"/>
    </row>
    <row r="8" spans="1:11" ht="14.4" customHeight="1" x14ac:dyDescent="0.3">
      <c r="A8" s="422"/>
      <c r="B8" s="422"/>
      <c r="C8" s="422"/>
      <c r="D8" s="422"/>
      <c r="E8" s="422"/>
      <c r="G8" s="262" t="s">
        <v>161</v>
      </c>
      <c r="H8" s="264"/>
      <c r="I8" s="125"/>
      <c r="J8" s="9"/>
      <c r="K8" s="10"/>
    </row>
    <row r="9" spans="1:11" ht="14.4" customHeight="1" x14ac:dyDescent="0.3">
      <c r="A9" s="422"/>
      <c r="B9" s="422"/>
      <c r="C9" s="422"/>
      <c r="D9" s="422"/>
      <c r="E9" s="422"/>
      <c r="G9" s="49" t="s">
        <v>2</v>
      </c>
      <c r="H9" s="456" t="s">
        <v>167</v>
      </c>
      <c r="I9" s="456"/>
      <c r="J9" s="2"/>
      <c r="K9" s="4"/>
    </row>
    <row r="10" spans="1:11" x14ac:dyDescent="0.3">
      <c r="A10" s="422"/>
      <c r="B10" s="422"/>
      <c r="C10" s="422"/>
      <c r="D10" s="422"/>
      <c r="E10" s="422"/>
      <c r="F10" s="100"/>
      <c r="G10" s="128" t="s">
        <v>207</v>
      </c>
      <c r="H10" s="129"/>
      <c r="I10" s="129"/>
      <c r="J10" s="129" t="s">
        <v>208</v>
      </c>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264"/>
      <c r="D13" s="264"/>
      <c r="E13" s="122"/>
      <c r="G13" s="262"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265"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258"/>
      <c r="D18" s="258"/>
      <c r="E18" s="124"/>
      <c r="G18" s="49" t="s">
        <v>75</v>
      </c>
      <c r="H18" s="2"/>
      <c r="I18" s="258"/>
      <c r="J18" s="2"/>
      <c r="K18" s="4"/>
    </row>
    <row r="20" spans="1:11" x14ac:dyDescent="0.3">
      <c r="A20" s="423" t="s">
        <v>25</v>
      </c>
      <c r="B20" s="467" t="s">
        <v>30</v>
      </c>
      <c r="C20" s="418"/>
      <c r="D20" s="418"/>
      <c r="E20" s="418"/>
      <c r="F20" s="418"/>
      <c r="G20" s="419"/>
      <c r="H20" s="419" t="s">
        <v>29</v>
      </c>
      <c r="I20" s="437" t="s">
        <v>60</v>
      </c>
      <c r="J20" s="499" t="s">
        <v>101</v>
      </c>
      <c r="K20" s="260" t="s">
        <v>26</v>
      </c>
    </row>
    <row r="21" spans="1:11" x14ac:dyDescent="0.3">
      <c r="A21" s="424"/>
      <c r="B21" s="468"/>
      <c r="C21" s="420"/>
      <c r="D21" s="420"/>
      <c r="E21" s="420"/>
      <c r="F21" s="420"/>
      <c r="G21" s="421"/>
      <c r="H21" s="421"/>
      <c r="I21" s="449"/>
      <c r="J21" s="500"/>
      <c r="K21" s="261"/>
    </row>
    <row r="22" spans="1:11" ht="14.4" customHeight="1" x14ac:dyDescent="0.3">
      <c r="A22" s="232">
        <v>1</v>
      </c>
      <c r="B22" s="515" t="s">
        <v>162</v>
      </c>
      <c r="C22" s="516"/>
      <c r="D22" s="516"/>
      <c r="E22" s="516"/>
      <c r="F22" s="516"/>
      <c r="G22" s="517"/>
      <c r="H22" s="233">
        <v>7318</v>
      </c>
      <c r="I22" s="232">
        <v>550</v>
      </c>
      <c r="J22" s="160">
        <v>139</v>
      </c>
      <c r="K22" s="168">
        <f>SUM(J22*I22)</f>
        <v>76450</v>
      </c>
    </row>
    <row r="23" spans="1:11" ht="15.6" x14ac:dyDescent="0.3">
      <c r="A23" s="234"/>
      <c r="B23" s="518"/>
      <c r="C23" s="519"/>
      <c r="D23" s="519"/>
      <c r="E23" s="519"/>
      <c r="F23" s="519"/>
      <c r="G23" s="520"/>
      <c r="H23" s="235"/>
      <c r="I23" s="236"/>
      <c r="J23" s="237"/>
      <c r="K23" s="237"/>
    </row>
    <row r="24" spans="1:11" ht="15.6" x14ac:dyDescent="0.3">
      <c r="A24" s="234"/>
      <c r="B24" s="518"/>
      <c r="C24" s="519"/>
      <c r="D24" s="519"/>
      <c r="E24" s="519"/>
      <c r="F24" s="519"/>
      <c r="G24" s="520"/>
      <c r="H24" s="235"/>
      <c r="I24" s="236"/>
      <c r="J24" s="237"/>
      <c r="K24" s="237"/>
    </row>
    <row r="25" spans="1:11" ht="15.6" x14ac:dyDescent="0.3">
      <c r="A25" s="234"/>
      <c r="B25" s="518"/>
      <c r="C25" s="519"/>
      <c r="D25" s="519"/>
      <c r="E25" s="519"/>
      <c r="F25" s="519"/>
      <c r="G25" s="520"/>
      <c r="H25" s="235"/>
      <c r="I25" s="236"/>
      <c r="J25" s="237"/>
      <c r="K25" s="237"/>
    </row>
    <row r="26" spans="1:11" ht="15.6" x14ac:dyDescent="0.3">
      <c r="A26" s="234"/>
      <c r="B26" s="518"/>
      <c r="C26" s="519"/>
      <c r="D26" s="519"/>
      <c r="E26" s="519"/>
      <c r="F26" s="519"/>
      <c r="G26" s="520"/>
      <c r="H26" s="235"/>
      <c r="I26" s="236"/>
      <c r="J26" s="237"/>
      <c r="K26" s="237"/>
    </row>
    <row r="27" spans="1:11" ht="15.6" x14ac:dyDescent="0.3">
      <c r="A27" s="234"/>
      <c r="B27" s="518"/>
      <c r="C27" s="519"/>
      <c r="D27" s="519"/>
      <c r="E27" s="519"/>
      <c r="F27" s="519"/>
      <c r="G27" s="520"/>
      <c r="H27" s="235"/>
      <c r="I27" s="236"/>
      <c r="J27" s="237"/>
      <c r="K27" s="237"/>
    </row>
    <row r="28" spans="1:11" ht="15.6" x14ac:dyDescent="0.3">
      <c r="A28" s="234"/>
      <c r="B28" s="518"/>
      <c r="C28" s="519"/>
      <c r="D28" s="519"/>
      <c r="E28" s="519"/>
      <c r="F28" s="519"/>
      <c r="G28" s="520"/>
      <c r="H28" s="235"/>
      <c r="I28" s="236"/>
      <c r="J28" s="237"/>
      <c r="K28" s="237"/>
    </row>
    <row r="29" spans="1:11" ht="15.6" x14ac:dyDescent="0.3">
      <c r="A29" s="234"/>
      <c r="B29" s="518"/>
      <c r="C29" s="519"/>
      <c r="D29" s="519"/>
      <c r="E29" s="519"/>
      <c r="F29" s="519"/>
      <c r="G29" s="520"/>
      <c r="H29" s="235"/>
      <c r="I29" s="236"/>
      <c r="J29" s="237"/>
      <c r="K29" s="237"/>
    </row>
    <row r="30" spans="1:11" x14ac:dyDescent="0.3">
      <c r="A30" s="238"/>
      <c r="B30" s="518"/>
      <c r="C30" s="519"/>
      <c r="D30" s="519"/>
      <c r="E30" s="519"/>
      <c r="F30" s="519"/>
      <c r="G30" s="520"/>
      <c r="H30" s="239"/>
      <c r="I30" s="237"/>
      <c r="J30" s="237"/>
      <c r="K30" s="237"/>
    </row>
    <row r="31" spans="1:11" x14ac:dyDescent="0.3">
      <c r="A31" s="238"/>
      <c r="B31" s="518"/>
      <c r="C31" s="519"/>
      <c r="D31" s="519"/>
      <c r="E31" s="519"/>
      <c r="F31" s="519"/>
      <c r="G31" s="520"/>
      <c r="H31" s="239"/>
      <c r="I31" s="237"/>
      <c r="J31" s="237"/>
      <c r="K31" s="237"/>
    </row>
    <row r="32" spans="1:11" x14ac:dyDescent="0.3">
      <c r="A32" s="238"/>
      <c r="B32" s="518"/>
      <c r="C32" s="519"/>
      <c r="D32" s="519"/>
      <c r="E32" s="519"/>
      <c r="F32" s="519"/>
      <c r="G32" s="520"/>
      <c r="H32" s="239"/>
      <c r="I32" s="237"/>
      <c r="J32" s="237"/>
      <c r="K32" s="237"/>
    </row>
    <row r="33" spans="1:11" x14ac:dyDescent="0.3">
      <c r="A33" s="136"/>
      <c r="B33" s="518"/>
      <c r="C33" s="519"/>
      <c r="D33" s="519"/>
      <c r="E33" s="519"/>
      <c r="F33" s="519"/>
      <c r="G33" s="520"/>
      <c r="H33" s="216"/>
      <c r="I33" s="212"/>
      <c r="J33" s="212"/>
      <c r="K33" s="212"/>
    </row>
    <row r="34" spans="1:11" x14ac:dyDescent="0.3">
      <c r="A34" s="136"/>
      <c r="B34" s="213"/>
      <c r="C34" s="214"/>
      <c r="D34" s="214"/>
      <c r="E34" s="214"/>
      <c r="F34" s="214"/>
      <c r="G34" s="215"/>
      <c r="H34" s="216"/>
      <c r="I34" s="212"/>
      <c r="J34" s="212"/>
      <c r="K34" s="212"/>
    </row>
    <row r="35" spans="1:11" x14ac:dyDescent="0.3">
      <c r="A35" s="136"/>
      <c r="B35" s="213"/>
      <c r="C35" s="214"/>
      <c r="D35" s="214"/>
      <c r="E35" s="214"/>
      <c r="F35" s="214"/>
      <c r="G35" s="215"/>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477" t="s">
        <v>163</v>
      </c>
      <c r="D38" s="477"/>
      <c r="E38" s="477"/>
      <c r="F38" s="477"/>
      <c r="G38" s="478"/>
      <c r="H38" s="406" t="s">
        <v>31</v>
      </c>
      <c r="I38" s="407"/>
      <c r="J38" s="501">
        <f xml:space="preserve"> +SUM(K22+0)</f>
        <v>76450</v>
      </c>
      <c r="K38" s="502"/>
    </row>
    <row r="39" spans="1:11" x14ac:dyDescent="0.3">
      <c r="A39" s="11"/>
      <c r="B39" s="100"/>
      <c r="C39" s="479"/>
      <c r="D39" s="479"/>
      <c r="E39" s="479"/>
      <c r="F39" s="479"/>
      <c r="G39" s="480"/>
      <c r="H39" s="50" t="s">
        <v>32</v>
      </c>
      <c r="I39" s="38">
        <v>0.09</v>
      </c>
      <c r="J39" s="501">
        <f>K22 * I39</f>
        <v>6880.5</v>
      </c>
      <c r="K39" s="502"/>
    </row>
    <row r="40" spans="1:11" x14ac:dyDescent="0.3">
      <c r="A40" s="11"/>
      <c r="B40" s="100"/>
      <c r="C40" s="240"/>
      <c r="D40" s="240"/>
      <c r="E40" s="240"/>
      <c r="F40" s="240"/>
      <c r="G40" s="241"/>
      <c r="H40" s="50" t="s">
        <v>33</v>
      </c>
      <c r="I40" s="38">
        <v>0.09</v>
      </c>
      <c r="J40" s="501">
        <f>K22 * I40</f>
        <v>6880.5</v>
      </c>
      <c r="K40" s="502"/>
    </row>
    <row r="41" spans="1:11" x14ac:dyDescent="0.3">
      <c r="A41" s="5"/>
      <c r="B41" s="2"/>
      <c r="C41" s="218"/>
      <c r="D41" s="218"/>
      <c r="E41" s="218"/>
      <c r="F41" s="218"/>
      <c r="G41" s="223"/>
      <c r="H41" s="49" t="s">
        <v>34</v>
      </c>
      <c r="I41" s="259"/>
      <c r="J41" s="503">
        <f>+SUM(J38+J39+J40)</f>
        <v>90211</v>
      </c>
      <c r="K41" s="504"/>
    </row>
    <row r="42" spans="1:11" x14ac:dyDescent="0.3">
      <c r="J42" s="221"/>
      <c r="K42" s="221"/>
    </row>
    <row r="43" spans="1:11" x14ac:dyDescent="0.3">
      <c r="J43" s="221"/>
      <c r="K43" s="221"/>
    </row>
    <row r="44" spans="1:11" x14ac:dyDescent="0.3">
      <c r="A44" s="263" t="s">
        <v>36</v>
      </c>
      <c r="B44" s="263"/>
    </row>
    <row r="45" spans="1:11" x14ac:dyDescent="0.3">
      <c r="A45" s="263" t="s">
        <v>37</v>
      </c>
      <c r="B45" s="263"/>
      <c r="C45" t="s">
        <v>41</v>
      </c>
      <c r="I45" s="405" t="e" vm="2">
        <v>#VALUE!</v>
      </c>
      <c r="J45" s="405"/>
      <c r="K45" s="405"/>
    </row>
    <row r="46" spans="1:11" x14ac:dyDescent="0.3">
      <c r="A46" s="263" t="s">
        <v>38</v>
      </c>
      <c r="B46" s="263"/>
      <c r="C46" s="36" t="s">
        <v>42</v>
      </c>
      <c r="H46" s="119"/>
      <c r="I46" s="405"/>
      <c r="J46" s="405"/>
      <c r="K46" s="405"/>
    </row>
    <row r="47" spans="1:11" x14ac:dyDescent="0.3">
      <c r="A47" s="263" t="s">
        <v>39</v>
      </c>
      <c r="B47" s="263"/>
      <c r="C47" t="s">
        <v>44</v>
      </c>
      <c r="H47" s="119"/>
      <c r="I47" s="405"/>
      <c r="J47" s="405"/>
      <c r="K47" s="405"/>
    </row>
    <row r="48" spans="1:11" x14ac:dyDescent="0.3">
      <c r="A48" s="263" t="s">
        <v>40</v>
      </c>
      <c r="B48" s="263"/>
      <c r="C48" t="s">
        <v>43</v>
      </c>
      <c r="J48" s="54" t="s">
        <v>48</v>
      </c>
    </row>
  </sheetData>
  <mergeCells count="25">
    <mergeCell ref="J40:K40"/>
    <mergeCell ref="J41:K41"/>
    <mergeCell ref="I45:K47"/>
    <mergeCell ref="B22:G33"/>
    <mergeCell ref="A38:B38"/>
    <mergeCell ref="C38:G39"/>
    <mergeCell ref="H38:I38"/>
    <mergeCell ref="J38:K38"/>
    <mergeCell ref="J39:K39"/>
    <mergeCell ref="A12:E12"/>
    <mergeCell ref="G12:K12"/>
    <mergeCell ref="A14:E15"/>
    <mergeCell ref="G14:K15"/>
    <mergeCell ref="G17:H17"/>
    <mergeCell ref="A20:A21"/>
    <mergeCell ref="B20:G21"/>
    <mergeCell ref="H20:H21"/>
    <mergeCell ref="I20:I21"/>
    <mergeCell ref="J20:J21"/>
    <mergeCell ref="A1:E10"/>
    <mergeCell ref="G1:K2"/>
    <mergeCell ref="H5:I5"/>
    <mergeCell ref="H6:J6"/>
    <mergeCell ref="H7:I7"/>
    <mergeCell ref="H9:I9"/>
  </mergeCells>
  <printOptions horizontalCentered="1" verticalCentered="1"/>
  <pageMargins left="0" right="0" top="0" bottom="0" header="0" footer="0"/>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D1389-2CAA-4CEB-AD28-62CC10C7DDA8}">
  <sheetPr>
    <pageSetUpPr fitToPage="1"/>
  </sheetPr>
  <dimension ref="A1:K48"/>
  <sheetViews>
    <sheetView showWhiteSpace="0" view="pageBreakPreview" zoomScale="115" zoomScaleNormal="190" zoomScaleSheetLayoutView="115" zoomScalePageLayoutView="85" workbookViewId="0">
      <selection activeCell="L15" sqref="L15"/>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11.109375" customWidth="1"/>
    <col min="10" max="10" width="11.33203125" customWidth="1"/>
    <col min="11" max="11" width="11.44140625" customWidth="1"/>
    <col min="12" max="12" width="5.44140625" customWidth="1"/>
  </cols>
  <sheetData>
    <row r="1" spans="1:11" ht="14.25" customHeight="1" x14ac:dyDescent="0.3">
      <c r="A1" s="422" t="e" vm="1">
        <v>#VALUE!</v>
      </c>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168</v>
      </c>
      <c r="H4" s="171"/>
      <c r="I4" s="272"/>
      <c r="J4" s="9"/>
      <c r="K4" s="10"/>
    </row>
    <row r="5" spans="1:11" ht="14.4" customHeight="1" x14ac:dyDescent="0.3">
      <c r="A5" s="422"/>
      <c r="B5" s="422"/>
      <c r="C5" s="422"/>
      <c r="D5" s="422"/>
      <c r="E5" s="422"/>
      <c r="G5" s="49" t="s">
        <v>2</v>
      </c>
      <c r="H5" s="456" t="s">
        <v>171</v>
      </c>
      <c r="I5" s="456"/>
      <c r="J5" s="2"/>
      <c r="K5" s="4"/>
    </row>
    <row r="6" spans="1:11" ht="14.25" customHeight="1" x14ac:dyDescent="0.3">
      <c r="A6" s="422"/>
      <c r="B6" s="422"/>
      <c r="C6" s="422"/>
      <c r="D6" s="422"/>
      <c r="E6" s="422"/>
      <c r="G6" s="270" t="s">
        <v>23</v>
      </c>
      <c r="H6" s="452">
        <v>57255120100186</v>
      </c>
      <c r="I6" s="452"/>
      <c r="J6" s="452"/>
      <c r="K6" s="10"/>
    </row>
    <row r="7" spans="1:11" ht="14.4" customHeight="1" x14ac:dyDescent="0.3">
      <c r="A7" s="422"/>
      <c r="B7" s="422"/>
      <c r="C7" s="422"/>
      <c r="D7" s="422"/>
      <c r="E7" s="422"/>
      <c r="G7" s="49" t="s">
        <v>2</v>
      </c>
      <c r="H7" s="469" t="s">
        <v>169</v>
      </c>
      <c r="I7" s="470"/>
      <c r="J7" s="2"/>
      <c r="K7" s="4"/>
    </row>
    <row r="8" spans="1:11" ht="14.4" customHeight="1" x14ac:dyDescent="0.3">
      <c r="A8" s="422"/>
      <c r="B8" s="422"/>
      <c r="C8" s="422"/>
      <c r="D8" s="422"/>
      <c r="E8" s="422"/>
      <c r="G8" s="270" t="s">
        <v>170</v>
      </c>
      <c r="H8" s="272"/>
      <c r="I8" s="125"/>
      <c r="J8" s="9"/>
      <c r="K8" s="10"/>
    </row>
    <row r="9" spans="1:11" ht="14.4" customHeight="1" x14ac:dyDescent="0.3">
      <c r="A9" s="422"/>
      <c r="B9" s="422"/>
      <c r="C9" s="422"/>
      <c r="D9" s="422"/>
      <c r="E9" s="422"/>
      <c r="G9" s="49" t="s">
        <v>2</v>
      </c>
      <c r="H9" s="456" t="s">
        <v>171</v>
      </c>
      <c r="I9" s="456"/>
      <c r="J9" s="2"/>
      <c r="K9" s="4"/>
    </row>
    <row r="10" spans="1:11" x14ac:dyDescent="0.3">
      <c r="A10" s="422"/>
      <c r="B10" s="422"/>
      <c r="C10" s="422"/>
      <c r="D10" s="422"/>
      <c r="E10" s="422"/>
      <c r="F10" s="100"/>
      <c r="G10" s="128" t="s">
        <v>212</v>
      </c>
      <c r="H10" s="129"/>
      <c r="I10" s="129"/>
      <c r="J10" s="129" t="s">
        <v>213</v>
      </c>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272"/>
      <c r="D13" s="272"/>
      <c r="E13" s="122"/>
      <c r="G13" s="270"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273"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266"/>
      <c r="D18" s="266"/>
      <c r="E18" s="124"/>
      <c r="G18" s="49" t="s">
        <v>75</v>
      </c>
      <c r="H18" s="2"/>
      <c r="I18" s="266"/>
      <c r="J18" s="2"/>
      <c r="K18" s="4"/>
    </row>
    <row r="20" spans="1:11" x14ac:dyDescent="0.3">
      <c r="A20" s="423" t="s">
        <v>25</v>
      </c>
      <c r="B20" s="467" t="s">
        <v>30</v>
      </c>
      <c r="C20" s="418"/>
      <c r="D20" s="418"/>
      <c r="E20" s="418"/>
      <c r="F20" s="418"/>
      <c r="G20" s="419"/>
      <c r="H20" s="419" t="s">
        <v>29</v>
      </c>
      <c r="I20" s="437" t="s">
        <v>173</v>
      </c>
      <c r="J20" s="499" t="s">
        <v>101</v>
      </c>
      <c r="K20" s="268" t="s">
        <v>26</v>
      </c>
    </row>
    <row r="21" spans="1:11" x14ac:dyDescent="0.3">
      <c r="A21" s="424"/>
      <c r="B21" s="468"/>
      <c r="C21" s="420"/>
      <c r="D21" s="420"/>
      <c r="E21" s="420"/>
      <c r="F21" s="420"/>
      <c r="G21" s="421"/>
      <c r="H21" s="421"/>
      <c r="I21" s="449"/>
      <c r="J21" s="500"/>
      <c r="K21" s="269"/>
    </row>
    <row r="22" spans="1:11" ht="14.4" customHeight="1" x14ac:dyDescent="0.3">
      <c r="A22" s="232">
        <v>1</v>
      </c>
      <c r="B22" s="515" t="s">
        <v>172</v>
      </c>
      <c r="C22" s="516"/>
      <c r="D22" s="516"/>
      <c r="E22" s="516"/>
      <c r="F22" s="516"/>
      <c r="G22" s="517"/>
      <c r="H22" s="233">
        <v>7216</v>
      </c>
      <c r="I22" s="232">
        <v>2000</v>
      </c>
      <c r="J22" s="160">
        <v>78.400000000000006</v>
      </c>
      <c r="K22" s="168">
        <f>SUM(J22*I22)</f>
        <v>156800</v>
      </c>
    </row>
    <row r="23" spans="1:11" ht="15.6" x14ac:dyDescent="0.3">
      <c r="A23" s="234"/>
      <c r="B23" s="518"/>
      <c r="C23" s="519"/>
      <c r="D23" s="519"/>
      <c r="E23" s="519"/>
      <c r="F23" s="519"/>
      <c r="G23" s="520"/>
      <c r="H23" s="235"/>
      <c r="I23" s="236"/>
      <c r="J23" s="237"/>
      <c r="K23" s="237"/>
    </row>
    <row r="24" spans="1:11" ht="15.6" x14ac:dyDescent="0.3">
      <c r="A24" s="234"/>
      <c r="B24" s="518"/>
      <c r="C24" s="519"/>
      <c r="D24" s="519"/>
      <c r="E24" s="519"/>
      <c r="F24" s="519"/>
      <c r="G24" s="520"/>
      <c r="H24" s="235"/>
      <c r="I24" s="236"/>
      <c r="J24" s="237"/>
      <c r="K24" s="237"/>
    </row>
    <row r="25" spans="1:11" ht="15.6" x14ac:dyDescent="0.3">
      <c r="A25" s="234"/>
      <c r="B25" s="518"/>
      <c r="C25" s="519"/>
      <c r="D25" s="519"/>
      <c r="E25" s="519"/>
      <c r="F25" s="519"/>
      <c r="G25" s="520"/>
      <c r="H25" s="235"/>
      <c r="I25" s="236"/>
      <c r="J25" s="237"/>
      <c r="K25" s="237"/>
    </row>
    <row r="26" spans="1:11" ht="15.6" x14ac:dyDescent="0.3">
      <c r="A26" s="234"/>
      <c r="B26" s="518"/>
      <c r="C26" s="519"/>
      <c r="D26" s="519"/>
      <c r="E26" s="519"/>
      <c r="F26" s="519"/>
      <c r="G26" s="520"/>
      <c r="H26" s="235"/>
      <c r="I26" s="236"/>
      <c r="J26" s="237"/>
      <c r="K26" s="237"/>
    </row>
    <row r="27" spans="1:11" ht="15.6" x14ac:dyDescent="0.3">
      <c r="A27" s="234"/>
      <c r="B27" s="518"/>
      <c r="C27" s="519"/>
      <c r="D27" s="519"/>
      <c r="E27" s="519"/>
      <c r="F27" s="519"/>
      <c r="G27" s="520"/>
      <c r="H27" s="235"/>
      <c r="I27" s="236"/>
      <c r="J27" s="237"/>
      <c r="K27" s="237"/>
    </row>
    <row r="28" spans="1:11" ht="15.6" x14ac:dyDescent="0.3">
      <c r="A28" s="234"/>
      <c r="B28" s="518"/>
      <c r="C28" s="519"/>
      <c r="D28" s="519"/>
      <c r="E28" s="519"/>
      <c r="F28" s="519"/>
      <c r="G28" s="520"/>
      <c r="H28" s="235"/>
      <c r="I28" s="236"/>
      <c r="J28" s="237"/>
      <c r="K28" s="237"/>
    </row>
    <row r="29" spans="1:11" ht="15.6" x14ac:dyDescent="0.3">
      <c r="A29" s="234"/>
      <c r="B29" s="518"/>
      <c r="C29" s="519"/>
      <c r="D29" s="519"/>
      <c r="E29" s="519"/>
      <c r="F29" s="519"/>
      <c r="G29" s="520"/>
      <c r="H29" s="235"/>
      <c r="I29" s="236"/>
      <c r="J29" s="237"/>
      <c r="K29" s="237"/>
    </row>
    <row r="30" spans="1:11" x14ac:dyDescent="0.3">
      <c r="A30" s="238"/>
      <c r="B30" s="518"/>
      <c r="C30" s="519"/>
      <c r="D30" s="519"/>
      <c r="E30" s="519"/>
      <c r="F30" s="519"/>
      <c r="G30" s="520"/>
      <c r="H30" s="239"/>
      <c r="I30" s="237"/>
      <c r="J30" s="237"/>
      <c r="K30" s="237"/>
    </row>
    <row r="31" spans="1:11" x14ac:dyDescent="0.3">
      <c r="A31" s="238"/>
      <c r="B31" s="518"/>
      <c r="C31" s="519"/>
      <c r="D31" s="519"/>
      <c r="E31" s="519"/>
      <c r="F31" s="519"/>
      <c r="G31" s="520"/>
      <c r="H31" s="239"/>
      <c r="I31" s="237"/>
      <c r="J31" s="237"/>
      <c r="K31" s="237"/>
    </row>
    <row r="32" spans="1:11" x14ac:dyDescent="0.3">
      <c r="A32" s="238"/>
      <c r="B32" s="518"/>
      <c r="C32" s="519"/>
      <c r="D32" s="519"/>
      <c r="E32" s="519"/>
      <c r="F32" s="519"/>
      <c r="G32" s="520"/>
      <c r="H32" s="239"/>
      <c r="I32" s="237"/>
      <c r="J32" s="237"/>
      <c r="K32" s="237"/>
    </row>
    <row r="33" spans="1:11" x14ac:dyDescent="0.3">
      <c r="A33" s="136"/>
      <c r="B33" s="518"/>
      <c r="C33" s="519"/>
      <c r="D33" s="519"/>
      <c r="E33" s="519"/>
      <c r="F33" s="519"/>
      <c r="G33" s="520"/>
      <c r="H33" s="216"/>
      <c r="I33" s="212"/>
      <c r="J33" s="212"/>
      <c r="K33" s="212"/>
    </row>
    <row r="34" spans="1:11" x14ac:dyDescent="0.3">
      <c r="A34" s="136"/>
      <c r="B34" s="213"/>
      <c r="C34" s="214"/>
      <c r="D34" s="214"/>
      <c r="E34" s="214"/>
      <c r="F34" s="214"/>
      <c r="G34" s="215"/>
      <c r="H34" s="216"/>
      <c r="I34" s="212"/>
      <c r="J34" s="212"/>
      <c r="K34" s="212"/>
    </row>
    <row r="35" spans="1:11" x14ac:dyDescent="0.3">
      <c r="A35" s="136"/>
      <c r="B35" s="213"/>
      <c r="C35" s="214"/>
      <c r="D35" s="214"/>
      <c r="E35" s="214"/>
      <c r="F35" s="214"/>
      <c r="G35" s="215"/>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477" t="s">
        <v>174</v>
      </c>
      <c r="D38" s="477"/>
      <c r="E38" s="477"/>
      <c r="F38" s="477"/>
      <c r="G38" s="478"/>
      <c r="H38" s="406" t="s">
        <v>31</v>
      </c>
      <c r="I38" s="407"/>
      <c r="J38" s="501">
        <f xml:space="preserve"> +SUM(K22+0)</f>
        <v>156800</v>
      </c>
      <c r="K38" s="502"/>
    </row>
    <row r="39" spans="1:11" x14ac:dyDescent="0.3">
      <c r="A39" s="11"/>
      <c r="B39" s="100"/>
      <c r="C39" s="479"/>
      <c r="D39" s="479"/>
      <c r="E39" s="479"/>
      <c r="F39" s="479"/>
      <c r="G39" s="480"/>
      <c r="H39" s="50" t="s">
        <v>32</v>
      </c>
      <c r="I39" s="38">
        <v>0.09</v>
      </c>
      <c r="J39" s="501">
        <f>K22 * I39</f>
        <v>14112</v>
      </c>
      <c r="K39" s="502"/>
    </row>
    <row r="40" spans="1:11" x14ac:dyDescent="0.3">
      <c r="A40" s="11"/>
      <c r="B40" s="100"/>
      <c r="C40" s="240"/>
      <c r="D40" s="240"/>
      <c r="E40" s="240"/>
      <c r="F40" s="240"/>
      <c r="G40" s="241"/>
      <c r="H40" s="50" t="s">
        <v>33</v>
      </c>
      <c r="I40" s="38">
        <v>0.09</v>
      </c>
      <c r="J40" s="501">
        <f>K22 * I40</f>
        <v>14112</v>
      </c>
      <c r="K40" s="502"/>
    </row>
    <row r="41" spans="1:11" x14ac:dyDescent="0.3">
      <c r="A41" s="5"/>
      <c r="B41" s="2"/>
      <c r="C41" s="218"/>
      <c r="D41" s="218"/>
      <c r="E41" s="218"/>
      <c r="F41" s="218"/>
      <c r="G41" s="223"/>
      <c r="H41" s="49" t="s">
        <v>34</v>
      </c>
      <c r="I41" s="267"/>
      <c r="J41" s="503">
        <f>+SUM(J38+J39+J40)</f>
        <v>185024</v>
      </c>
      <c r="K41" s="504"/>
    </row>
    <row r="42" spans="1:11" x14ac:dyDescent="0.3">
      <c r="J42" s="221"/>
      <c r="K42" s="221"/>
    </row>
    <row r="43" spans="1:11" x14ac:dyDescent="0.3">
      <c r="J43" s="221"/>
      <c r="K43" s="221"/>
    </row>
    <row r="44" spans="1:11" x14ac:dyDescent="0.3">
      <c r="A44" s="271" t="s">
        <v>36</v>
      </c>
      <c r="B44" s="271"/>
    </row>
    <row r="45" spans="1:11" x14ac:dyDescent="0.3">
      <c r="A45" s="271" t="s">
        <v>37</v>
      </c>
      <c r="B45" s="271"/>
      <c r="C45" t="s">
        <v>41</v>
      </c>
      <c r="I45" s="405" t="e" vm="2">
        <v>#VALUE!</v>
      </c>
      <c r="J45" s="405"/>
      <c r="K45" s="405"/>
    </row>
    <row r="46" spans="1:11" x14ac:dyDescent="0.3">
      <c r="A46" s="271" t="s">
        <v>38</v>
      </c>
      <c r="B46" s="271"/>
      <c r="C46" s="36" t="s">
        <v>42</v>
      </c>
      <c r="H46" s="119"/>
      <c r="I46" s="405"/>
      <c r="J46" s="405"/>
      <c r="K46" s="405"/>
    </row>
    <row r="47" spans="1:11" x14ac:dyDescent="0.3">
      <c r="A47" s="271" t="s">
        <v>39</v>
      </c>
      <c r="B47" s="271"/>
      <c r="C47" t="s">
        <v>44</v>
      </c>
      <c r="H47" s="119"/>
      <c r="I47" s="405"/>
      <c r="J47" s="405"/>
      <c r="K47" s="405"/>
    </row>
    <row r="48" spans="1:11" x14ac:dyDescent="0.3">
      <c r="A48" s="271" t="s">
        <v>40</v>
      </c>
      <c r="B48" s="271"/>
      <c r="C48" t="s">
        <v>43</v>
      </c>
      <c r="J48" s="54" t="s">
        <v>48</v>
      </c>
    </row>
  </sheetData>
  <mergeCells count="25">
    <mergeCell ref="J40:K40"/>
    <mergeCell ref="J41:K41"/>
    <mergeCell ref="I45:K47"/>
    <mergeCell ref="B22:G33"/>
    <mergeCell ref="A38:B38"/>
    <mergeCell ref="C38:G39"/>
    <mergeCell ref="H38:I38"/>
    <mergeCell ref="J38:K38"/>
    <mergeCell ref="J39:K39"/>
    <mergeCell ref="A12:E12"/>
    <mergeCell ref="G12:K12"/>
    <mergeCell ref="A14:E15"/>
    <mergeCell ref="G14:K15"/>
    <mergeCell ref="G17:H17"/>
    <mergeCell ref="A20:A21"/>
    <mergeCell ref="B20:G21"/>
    <mergeCell ref="H20:H21"/>
    <mergeCell ref="I20:I21"/>
    <mergeCell ref="J20:J21"/>
    <mergeCell ref="A1:E10"/>
    <mergeCell ref="G1:K2"/>
    <mergeCell ref="H5:I5"/>
    <mergeCell ref="H6:J6"/>
    <mergeCell ref="H7:I7"/>
    <mergeCell ref="H9:I9"/>
  </mergeCells>
  <printOptions horizontalCentered="1" verticalCentered="1"/>
  <pageMargins left="0" right="0" top="0" bottom="0" header="0" footer="0"/>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ED657-FEBB-4DE9-8F13-AA578E8B97BD}">
  <sheetPr>
    <pageSetUpPr fitToPage="1"/>
  </sheetPr>
  <dimension ref="A1:K48"/>
  <sheetViews>
    <sheetView showWhiteSpace="0" view="pageBreakPreview" zoomScale="85" zoomScaleNormal="190" zoomScaleSheetLayoutView="85" zoomScalePageLayoutView="85" workbookViewId="0">
      <selection activeCell="M16" sqref="M16"/>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10.33203125" customWidth="1"/>
    <col min="10" max="10" width="11.33203125" customWidth="1"/>
    <col min="11" max="11" width="11.44140625" customWidth="1"/>
    <col min="12" max="12" width="5.44140625" customWidth="1"/>
  </cols>
  <sheetData>
    <row r="1" spans="1:11" ht="14.25" customHeight="1" x14ac:dyDescent="0.3">
      <c r="A1" s="422" t="e" vm="1">
        <v>#VALUE!</v>
      </c>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184</v>
      </c>
      <c r="H4" s="171"/>
      <c r="I4" s="289"/>
      <c r="J4" s="9"/>
      <c r="K4" s="10"/>
    </row>
    <row r="5" spans="1:11" ht="14.4" customHeight="1" x14ac:dyDescent="0.3">
      <c r="A5" s="422"/>
      <c r="B5" s="422"/>
      <c r="C5" s="422"/>
      <c r="D5" s="422"/>
      <c r="E5" s="422"/>
      <c r="G5" s="49" t="s">
        <v>2</v>
      </c>
      <c r="H5" s="456" t="s">
        <v>185</v>
      </c>
      <c r="I5" s="456"/>
      <c r="J5" s="2"/>
      <c r="K5" s="4"/>
    </row>
    <row r="6" spans="1:11" ht="14.25" customHeight="1" x14ac:dyDescent="0.3">
      <c r="A6" s="422"/>
      <c r="B6" s="422"/>
      <c r="C6" s="422"/>
      <c r="D6" s="422"/>
      <c r="E6" s="422"/>
      <c r="G6" s="284" t="s">
        <v>23</v>
      </c>
      <c r="H6" s="452">
        <v>55255213100778</v>
      </c>
      <c r="I6" s="452"/>
      <c r="J6" s="452"/>
      <c r="K6" s="10"/>
    </row>
    <row r="7" spans="1:11" ht="14.4" customHeight="1" x14ac:dyDescent="0.3">
      <c r="A7" s="422"/>
      <c r="B7" s="422"/>
      <c r="C7" s="422"/>
      <c r="D7" s="422"/>
      <c r="E7" s="422"/>
      <c r="G7" s="49" t="s">
        <v>2</v>
      </c>
      <c r="H7" s="469">
        <v>45906</v>
      </c>
      <c r="I7" s="470"/>
      <c r="J7" s="2"/>
      <c r="K7" s="4"/>
    </row>
    <row r="8" spans="1:11" ht="14.4" customHeight="1" x14ac:dyDescent="0.3">
      <c r="A8" s="422"/>
      <c r="B8" s="422"/>
      <c r="C8" s="422"/>
      <c r="D8" s="422"/>
      <c r="E8" s="422"/>
      <c r="G8" s="284" t="s">
        <v>186</v>
      </c>
      <c r="H8" s="289"/>
      <c r="I8" s="125"/>
      <c r="J8" s="9"/>
      <c r="K8" s="10"/>
    </row>
    <row r="9" spans="1:11" ht="14.4" customHeight="1" x14ac:dyDescent="0.3">
      <c r="A9" s="422"/>
      <c r="B9" s="422"/>
      <c r="C9" s="422"/>
      <c r="D9" s="422"/>
      <c r="E9" s="422"/>
      <c r="G9" s="49" t="s">
        <v>2</v>
      </c>
      <c r="H9" s="456" t="s">
        <v>185</v>
      </c>
      <c r="I9" s="456"/>
      <c r="J9" s="2"/>
      <c r="K9" s="4"/>
    </row>
    <row r="10" spans="1:11" x14ac:dyDescent="0.3">
      <c r="A10" s="422"/>
      <c r="B10" s="422"/>
      <c r="C10" s="422"/>
      <c r="D10" s="422"/>
      <c r="E10" s="422"/>
      <c r="F10" s="100"/>
      <c r="G10" s="128" t="s">
        <v>156</v>
      </c>
      <c r="H10" s="129"/>
      <c r="I10" s="129"/>
      <c r="J10" s="129" t="s">
        <v>157</v>
      </c>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289"/>
      <c r="D13" s="289"/>
      <c r="E13" s="122"/>
      <c r="G13" s="284"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290"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287"/>
      <c r="D18" s="287"/>
      <c r="E18" s="124"/>
      <c r="G18" s="49" t="s">
        <v>75</v>
      </c>
      <c r="H18" s="2"/>
      <c r="I18" s="287"/>
      <c r="J18" s="2"/>
      <c r="K18" s="4"/>
    </row>
    <row r="20" spans="1:11" x14ac:dyDescent="0.3">
      <c r="A20" s="423" t="s">
        <v>25</v>
      </c>
      <c r="B20" s="467" t="s">
        <v>30</v>
      </c>
      <c r="C20" s="418"/>
      <c r="D20" s="418"/>
      <c r="E20" s="418"/>
      <c r="F20" s="418"/>
      <c r="G20" s="419"/>
      <c r="H20" s="419" t="s">
        <v>29</v>
      </c>
      <c r="I20" s="437" t="s">
        <v>104</v>
      </c>
      <c r="J20" s="499" t="s">
        <v>101</v>
      </c>
      <c r="K20" s="285" t="s">
        <v>26</v>
      </c>
    </row>
    <row r="21" spans="1:11" x14ac:dyDescent="0.3">
      <c r="A21" s="424"/>
      <c r="B21" s="468"/>
      <c r="C21" s="420"/>
      <c r="D21" s="420"/>
      <c r="E21" s="420"/>
      <c r="F21" s="420"/>
      <c r="G21" s="421"/>
      <c r="H21" s="421"/>
      <c r="I21" s="449"/>
      <c r="J21" s="500"/>
      <c r="K21" s="286"/>
    </row>
    <row r="22" spans="1:11" ht="14.4" customHeight="1" x14ac:dyDescent="0.3">
      <c r="A22" s="232">
        <v>1</v>
      </c>
      <c r="B22" s="515" t="s">
        <v>187</v>
      </c>
      <c r="C22" s="516"/>
      <c r="D22" s="516"/>
      <c r="E22" s="516"/>
      <c r="F22" s="516"/>
      <c r="G22" s="517"/>
      <c r="H22" s="233">
        <v>7318</v>
      </c>
      <c r="I22" s="232">
        <v>1600</v>
      </c>
      <c r="J22" s="160">
        <v>255</v>
      </c>
      <c r="K22" s="168">
        <f>SUM(J22*I22)</f>
        <v>408000</v>
      </c>
    </row>
    <row r="23" spans="1:11" ht="15.6" x14ac:dyDescent="0.3">
      <c r="A23" s="234"/>
      <c r="B23" s="518"/>
      <c r="C23" s="519"/>
      <c r="D23" s="519"/>
      <c r="E23" s="519"/>
      <c r="F23" s="519"/>
      <c r="G23" s="520"/>
      <c r="H23" s="235"/>
      <c r="I23" s="236"/>
      <c r="J23" s="237"/>
      <c r="K23" s="237"/>
    </row>
    <row r="24" spans="1:11" ht="15.6" x14ac:dyDescent="0.3">
      <c r="A24" s="234"/>
      <c r="B24" s="518"/>
      <c r="C24" s="519"/>
      <c r="D24" s="519"/>
      <c r="E24" s="519"/>
      <c r="F24" s="519"/>
      <c r="G24" s="520"/>
      <c r="H24" s="235"/>
      <c r="I24" s="236"/>
      <c r="J24" s="237"/>
      <c r="K24" s="237"/>
    </row>
    <row r="25" spans="1:11" ht="15.6" x14ac:dyDescent="0.3">
      <c r="A25" s="234"/>
      <c r="B25" s="518"/>
      <c r="C25" s="519"/>
      <c r="D25" s="519"/>
      <c r="E25" s="519"/>
      <c r="F25" s="519"/>
      <c r="G25" s="520"/>
      <c r="H25" s="235"/>
      <c r="I25" s="236"/>
      <c r="J25" s="237"/>
      <c r="K25" s="237"/>
    </row>
    <row r="26" spans="1:11" ht="15.6" x14ac:dyDescent="0.3">
      <c r="A26" s="234"/>
      <c r="B26" s="518"/>
      <c r="C26" s="519"/>
      <c r="D26" s="519"/>
      <c r="E26" s="519"/>
      <c r="F26" s="519"/>
      <c r="G26" s="520"/>
      <c r="H26" s="235"/>
      <c r="I26" s="236"/>
      <c r="J26" s="237"/>
      <c r="K26" s="237"/>
    </row>
    <row r="27" spans="1:11" ht="15.6" x14ac:dyDescent="0.3">
      <c r="A27" s="234"/>
      <c r="B27" s="518"/>
      <c r="C27" s="519"/>
      <c r="D27" s="519"/>
      <c r="E27" s="519"/>
      <c r="F27" s="519"/>
      <c r="G27" s="520"/>
      <c r="H27" s="235"/>
      <c r="I27" s="236"/>
      <c r="J27" s="237"/>
      <c r="K27" s="237"/>
    </row>
    <row r="28" spans="1:11" ht="15.6" x14ac:dyDescent="0.3">
      <c r="A28" s="234"/>
      <c r="B28" s="518"/>
      <c r="C28" s="519"/>
      <c r="D28" s="519"/>
      <c r="E28" s="519"/>
      <c r="F28" s="519"/>
      <c r="G28" s="520"/>
      <c r="H28" s="235"/>
      <c r="I28" s="236"/>
      <c r="J28" s="237"/>
      <c r="K28" s="237"/>
    </row>
    <row r="29" spans="1:11" ht="15.6" x14ac:dyDescent="0.3">
      <c r="A29" s="234"/>
      <c r="B29" s="518"/>
      <c r="C29" s="519"/>
      <c r="D29" s="519"/>
      <c r="E29" s="519"/>
      <c r="F29" s="519"/>
      <c r="G29" s="520"/>
      <c r="H29" s="235"/>
      <c r="I29" s="236"/>
      <c r="J29" s="237"/>
      <c r="K29" s="237"/>
    </row>
    <row r="30" spans="1:11" x14ac:dyDescent="0.3">
      <c r="A30" s="238"/>
      <c r="B30" s="518"/>
      <c r="C30" s="519"/>
      <c r="D30" s="519"/>
      <c r="E30" s="519"/>
      <c r="F30" s="519"/>
      <c r="G30" s="520"/>
      <c r="H30" s="239"/>
      <c r="I30" s="237"/>
      <c r="J30" s="237"/>
      <c r="K30" s="237"/>
    </row>
    <row r="31" spans="1:11" x14ac:dyDescent="0.3">
      <c r="A31" s="238"/>
      <c r="B31" s="518"/>
      <c r="C31" s="519"/>
      <c r="D31" s="519"/>
      <c r="E31" s="519"/>
      <c r="F31" s="519"/>
      <c r="G31" s="520"/>
      <c r="H31" s="239"/>
      <c r="I31" s="237"/>
      <c r="J31" s="237"/>
      <c r="K31" s="237"/>
    </row>
    <row r="32" spans="1:11" x14ac:dyDescent="0.3">
      <c r="A32" s="238"/>
      <c r="B32" s="518"/>
      <c r="C32" s="519"/>
      <c r="D32" s="519"/>
      <c r="E32" s="519"/>
      <c r="F32" s="519"/>
      <c r="G32" s="520"/>
      <c r="H32" s="239"/>
      <c r="I32" s="237"/>
      <c r="J32" s="237"/>
      <c r="K32" s="237"/>
    </row>
    <row r="33" spans="1:11" x14ac:dyDescent="0.3">
      <c r="A33" s="136"/>
      <c r="B33" s="518"/>
      <c r="C33" s="519"/>
      <c r="D33" s="519"/>
      <c r="E33" s="519"/>
      <c r="F33" s="519"/>
      <c r="G33" s="520"/>
      <c r="H33" s="216"/>
      <c r="I33" s="212"/>
      <c r="J33" s="212"/>
      <c r="K33" s="212"/>
    </row>
    <row r="34" spans="1:11" x14ac:dyDescent="0.3">
      <c r="A34" s="136"/>
      <c r="B34" s="213"/>
      <c r="C34" s="214"/>
      <c r="D34" s="214"/>
      <c r="E34" s="214"/>
      <c r="F34" s="214"/>
      <c r="G34" s="215"/>
      <c r="H34" s="216"/>
      <c r="I34" s="212"/>
      <c r="J34" s="212"/>
      <c r="K34" s="212"/>
    </row>
    <row r="35" spans="1:11" x14ac:dyDescent="0.3">
      <c r="A35" s="136"/>
      <c r="B35" s="213"/>
      <c r="C35" s="214"/>
      <c r="D35" s="214"/>
      <c r="E35" s="214"/>
      <c r="F35" s="214"/>
      <c r="G35" s="215"/>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477" t="s">
        <v>188</v>
      </c>
      <c r="D38" s="477"/>
      <c r="E38" s="477"/>
      <c r="F38" s="477"/>
      <c r="G38" s="478"/>
      <c r="H38" s="406" t="s">
        <v>31</v>
      </c>
      <c r="I38" s="407"/>
      <c r="J38" s="501">
        <f xml:space="preserve"> +SUM(K22+0)</f>
        <v>408000</v>
      </c>
      <c r="K38" s="502"/>
    </row>
    <row r="39" spans="1:11" x14ac:dyDescent="0.3">
      <c r="A39" s="11"/>
      <c r="B39" s="100"/>
      <c r="C39" s="479"/>
      <c r="D39" s="479"/>
      <c r="E39" s="479"/>
      <c r="F39" s="479"/>
      <c r="G39" s="480"/>
      <c r="H39" s="50" t="s">
        <v>32</v>
      </c>
      <c r="I39" s="38">
        <v>0.09</v>
      </c>
      <c r="J39" s="501">
        <f>K22 * I39</f>
        <v>36720</v>
      </c>
      <c r="K39" s="502"/>
    </row>
    <row r="40" spans="1:11" x14ac:dyDescent="0.3">
      <c r="A40" s="11"/>
      <c r="B40" s="100"/>
      <c r="C40" s="240"/>
      <c r="D40" s="240"/>
      <c r="E40" s="240"/>
      <c r="F40" s="240"/>
      <c r="G40" s="241"/>
      <c r="H40" s="50" t="s">
        <v>33</v>
      </c>
      <c r="I40" s="38">
        <v>0.09</v>
      </c>
      <c r="J40" s="501">
        <f>K22 * I40</f>
        <v>36720</v>
      </c>
      <c r="K40" s="502"/>
    </row>
    <row r="41" spans="1:11" x14ac:dyDescent="0.3">
      <c r="A41" s="5"/>
      <c r="B41" s="2"/>
      <c r="C41" s="218"/>
      <c r="D41" s="218"/>
      <c r="E41" s="218"/>
      <c r="F41" s="218"/>
      <c r="G41" s="223"/>
      <c r="H41" s="49" t="s">
        <v>34</v>
      </c>
      <c r="I41" s="288"/>
      <c r="J41" s="503">
        <f>+SUM(J38+J39+J40)</f>
        <v>481440</v>
      </c>
      <c r="K41" s="504"/>
    </row>
    <row r="42" spans="1:11" x14ac:dyDescent="0.3">
      <c r="J42" s="221"/>
      <c r="K42" s="221"/>
    </row>
    <row r="43" spans="1:11" x14ac:dyDescent="0.3">
      <c r="J43" s="221"/>
      <c r="K43" s="221"/>
    </row>
    <row r="44" spans="1:11" x14ac:dyDescent="0.3">
      <c r="A44" s="283" t="s">
        <v>36</v>
      </c>
      <c r="B44" s="283"/>
    </row>
    <row r="45" spans="1:11" x14ac:dyDescent="0.3">
      <c r="A45" s="283" t="s">
        <v>37</v>
      </c>
      <c r="B45" s="283"/>
      <c r="C45" t="s">
        <v>41</v>
      </c>
      <c r="I45" s="405" t="e" vm="2">
        <v>#VALUE!</v>
      </c>
      <c r="J45" s="405"/>
      <c r="K45" s="405"/>
    </row>
    <row r="46" spans="1:11" x14ac:dyDescent="0.3">
      <c r="A46" s="283" t="s">
        <v>38</v>
      </c>
      <c r="B46" s="283"/>
      <c r="C46" s="36" t="s">
        <v>42</v>
      </c>
      <c r="H46" s="119"/>
      <c r="I46" s="405"/>
      <c r="J46" s="405"/>
      <c r="K46" s="405"/>
    </row>
    <row r="47" spans="1:11" x14ac:dyDescent="0.3">
      <c r="A47" s="283" t="s">
        <v>39</v>
      </c>
      <c r="B47" s="283"/>
      <c r="C47" t="s">
        <v>44</v>
      </c>
      <c r="H47" s="119"/>
      <c r="I47" s="405"/>
      <c r="J47" s="405"/>
      <c r="K47" s="405"/>
    </row>
    <row r="48" spans="1:11" x14ac:dyDescent="0.3">
      <c r="A48" s="283" t="s">
        <v>40</v>
      </c>
      <c r="B48" s="283"/>
      <c r="C48" t="s">
        <v>43</v>
      </c>
      <c r="J48" s="54" t="s">
        <v>48</v>
      </c>
    </row>
  </sheetData>
  <mergeCells count="25">
    <mergeCell ref="A1:E10"/>
    <mergeCell ref="G1:K2"/>
    <mergeCell ref="H5:I5"/>
    <mergeCell ref="H6:J6"/>
    <mergeCell ref="H7:I7"/>
    <mergeCell ref="H9:I9"/>
    <mergeCell ref="A20:A21"/>
    <mergeCell ref="B20:G21"/>
    <mergeCell ref="H20:H21"/>
    <mergeCell ref="I20:I21"/>
    <mergeCell ref="J20:J21"/>
    <mergeCell ref="A12:E12"/>
    <mergeCell ref="G12:K12"/>
    <mergeCell ref="A14:E15"/>
    <mergeCell ref="G14:K15"/>
    <mergeCell ref="G17:H17"/>
    <mergeCell ref="J40:K40"/>
    <mergeCell ref="J41:K41"/>
    <mergeCell ref="I45:K47"/>
    <mergeCell ref="B22:G33"/>
    <mergeCell ref="A38:B38"/>
    <mergeCell ref="C38:G39"/>
    <mergeCell ref="H38:I38"/>
    <mergeCell ref="J38:K38"/>
    <mergeCell ref="J39:K39"/>
  </mergeCells>
  <printOptions horizontalCentered="1" verticalCentered="1"/>
  <pageMargins left="0" right="0" top="0" bottom="0" header="0" footer="0"/>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1FABC-AC9B-4E21-AB8B-ED35D380C6DA}">
  <sheetPr>
    <pageSetUpPr fitToPage="1"/>
  </sheetPr>
  <dimension ref="A1:K48"/>
  <sheetViews>
    <sheetView showWhiteSpace="0" view="pageBreakPreview" topLeftCell="A12" zoomScaleNormal="190" zoomScaleSheetLayoutView="100" zoomScalePageLayoutView="85" workbookViewId="0">
      <selection activeCell="H6" sqref="H6:J6"/>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10.44140625" customWidth="1"/>
    <col min="10" max="10" width="11.33203125" customWidth="1"/>
    <col min="11" max="11" width="11.44140625" customWidth="1"/>
    <col min="12" max="12" width="5.44140625" customWidth="1"/>
  </cols>
  <sheetData>
    <row r="1" spans="1:11" ht="14.25" customHeight="1" x14ac:dyDescent="0.3">
      <c r="A1" s="422" t="e" vm="1">
        <v>#VALUE!</v>
      </c>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175</v>
      </c>
      <c r="H4" s="171"/>
      <c r="I4" s="281"/>
      <c r="J4" s="9"/>
      <c r="K4" s="10"/>
    </row>
    <row r="5" spans="1:11" ht="14.4" customHeight="1" x14ac:dyDescent="0.3">
      <c r="A5" s="422"/>
      <c r="B5" s="422"/>
      <c r="C5" s="422"/>
      <c r="D5" s="422"/>
      <c r="E5" s="422"/>
      <c r="G5" s="49" t="s">
        <v>2</v>
      </c>
      <c r="H5" s="456">
        <v>45727</v>
      </c>
      <c r="I5" s="456"/>
      <c r="J5" s="2"/>
      <c r="K5" s="4"/>
    </row>
    <row r="6" spans="1:11" ht="14.25" customHeight="1" x14ac:dyDescent="0.3">
      <c r="A6" s="422"/>
      <c r="B6" s="422"/>
      <c r="C6" s="422"/>
      <c r="D6" s="422"/>
      <c r="E6" s="422"/>
      <c r="G6" s="278" t="s">
        <v>23</v>
      </c>
      <c r="H6" s="452">
        <v>55256011101332</v>
      </c>
      <c r="I6" s="452"/>
      <c r="J6" s="452"/>
      <c r="K6" s="10"/>
    </row>
    <row r="7" spans="1:11" ht="14.4" customHeight="1" x14ac:dyDescent="0.3">
      <c r="A7" s="422"/>
      <c r="B7" s="422"/>
      <c r="C7" s="422"/>
      <c r="D7" s="422"/>
      <c r="E7" s="422"/>
      <c r="G7" s="49" t="s">
        <v>2</v>
      </c>
      <c r="H7" s="456" t="s">
        <v>183</v>
      </c>
      <c r="I7" s="456"/>
      <c r="J7" s="2"/>
      <c r="K7" s="4"/>
    </row>
    <row r="8" spans="1:11" ht="14.4" customHeight="1" x14ac:dyDescent="0.3">
      <c r="A8" s="422"/>
      <c r="B8" s="422"/>
      <c r="C8" s="422"/>
      <c r="D8" s="422"/>
      <c r="E8" s="422"/>
      <c r="G8" s="278" t="s">
        <v>181</v>
      </c>
      <c r="H8" s="281"/>
      <c r="I8" s="125"/>
      <c r="J8" s="9"/>
      <c r="K8" s="10"/>
    </row>
    <row r="9" spans="1:11" ht="14.4" customHeight="1" x14ac:dyDescent="0.3">
      <c r="A9" s="422"/>
      <c r="B9" s="422"/>
      <c r="C9" s="422"/>
      <c r="D9" s="422"/>
      <c r="E9" s="422"/>
      <c r="G9" s="49" t="s">
        <v>2</v>
      </c>
      <c r="H9" s="456">
        <v>45727</v>
      </c>
      <c r="I9" s="456"/>
      <c r="J9" s="2"/>
      <c r="K9" s="4"/>
    </row>
    <row r="10" spans="1:11" x14ac:dyDescent="0.3">
      <c r="A10" s="422"/>
      <c r="B10" s="422"/>
      <c r="C10" s="422"/>
      <c r="D10" s="422"/>
      <c r="E10" s="422"/>
      <c r="F10" s="100"/>
      <c r="G10" s="128" t="s">
        <v>198</v>
      </c>
      <c r="H10" s="129"/>
      <c r="I10" s="129"/>
      <c r="J10" s="129" t="s">
        <v>199</v>
      </c>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281"/>
      <c r="D13" s="281"/>
      <c r="E13" s="122"/>
      <c r="G13" s="278"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282"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274"/>
      <c r="D18" s="274"/>
      <c r="E18" s="124"/>
      <c r="G18" s="49" t="s">
        <v>75</v>
      </c>
      <c r="H18" s="2"/>
      <c r="I18" s="274"/>
      <c r="J18" s="2"/>
      <c r="K18" s="4"/>
    </row>
    <row r="20" spans="1:11" x14ac:dyDescent="0.3">
      <c r="A20" s="423" t="s">
        <v>25</v>
      </c>
      <c r="B20" s="467" t="s">
        <v>30</v>
      </c>
      <c r="C20" s="418"/>
      <c r="D20" s="418"/>
      <c r="E20" s="418"/>
      <c r="F20" s="418"/>
      <c r="G20" s="419"/>
      <c r="H20" s="419" t="s">
        <v>29</v>
      </c>
      <c r="I20" s="437" t="s">
        <v>104</v>
      </c>
      <c r="J20" s="499" t="s">
        <v>101</v>
      </c>
      <c r="K20" s="276" t="s">
        <v>26</v>
      </c>
    </row>
    <row r="21" spans="1:11" x14ac:dyDescent="0.3">
      <c r="A21" s="424"/>
      <c r="B21" s="468"/>
      <c r="C21" s="420"/>
      <c r="D21" s="420"/>
      <c r="E21" s="420"/>
      <c r="F21" s="420"/>
      <c r="G21" s="421"/>
      <c r="H21" s="421"/>
      <c r="I21" s="449"/>
      <c r="J21" s="500"/>
      <c r="K21" s="277"/>
    </row>
    <row r="22" spans="1:11" ht="14.4" customHeight="1" x14ac:dyDescent="0.3">
      <c r="A22" s="232">
        <v>1</v>
      </c>
      <c r="B22" s="515" t="s">
        <v>176</v>
      </c>
      <c r="C22" s="516"/>
      <c r="D22" s="516"/>
      <c r="E22" s="516"/>
      <c r="F22" s="516"/>
      <c r="G22" s="517"/>
      <c r="H22" s="233">
        <v>8481</v>
      </c>
      <c r="I22" s="232">
        <v>150</v>
      </c>
      <c r="J22" s="160">
        <v>284</v>
      </c>
      <c r="K22" s="168">
        <f>SUM(J22*I22)</f>
        <v>42600</v>
      </c>
    </row>
    <row r="23" spans="1:11" ht="15.6" x14ac:dyDescent="0.3">
      <c r="A23" s="234"/>
      <c r="B23" s="518"/>
      <c r="C23" s="519"/>
      <c r="D23" s="519"/>
      <c r="E23" s="519"/>
      <c r="F23" s="519"/>
      <c r="G23" s="520"/>
      <c r="H23" s="235"/>
      <c r="I23" s="236"/>
      <c r="J23" s="237"/>
      <c r="K23" s="237"/>
    </row>
    <row r="24" spans="1:11" ht="15.6" x14ac:dyDescent="0.3">
      <c r="A24" s="234"/>
      <c r="B24" s="518"/>
      <c r="C24" s="519"/>
      <c r="D24" s="519"/>
      <c r="E24" s="519"/>
      <c r="F24" s="519"/>
      <c r="G24" s="520"/>
      <c r="H24" s="235"/>
      <c r="I24" s="236"/>
      <c r="J24" s="237"/>
      <c r="K24" s="237"/>
    </row>
    <row r="25" spans="1:11" ht="15.6" x14ac:dyDescent="0.3">
      <c r="A25" s="234"/>
      <c r="B25" s="518"/>
      <c r="C25" s="519"/>
      <c r="D25" s="519"/>
      <c r="E25" s="519"/>
      <c r="F25" s="519"/>
      <c r="G25" s="520"/>
      <c r="H25" s="235"/>
      <c r="I25" s="236"/>
      <c r="J25" s="237"/>
      <c r="K25" s="237"/>
    </row>
    <row r="26" spans="1:11" ht="15.6" x14ac:dyDescent="0.3">
      <c r="A26" s="234"/>
      <c r="B26" s="518"/>
      <c r="C26" s="519"/>
      <c r="D26" s="519"/>
      <c r="E26" s="519"/>
      <c r="F26" s="519"/>
      <c r="G26" s="520"/>
      <c r="H26" s="235"/>
      <c r="I26" s="236"/>
      <c r="J26" s="237"/>
      <c r="K26" s="237"/>
    </row>
    <row r="27" spans="1:11" ht="15.6" x14ac:dyDescent="0.3">
      <c r="A27" s="234"/>
      <c r="B27" s="518"/>
      <c r="C27" s="519"/>
      <c r="D27" s="519"/>
      <c r="E27" s="519"/>
      <c r="F27" s="519"/>
      <c r="G27" s="520"/>
      <c r="H27" s="235"/>
      <c r="I27" s="236"/>
      <c r="J27" s="237"/>
      <c r="K27" s="237"/>
    </row>
    <row r="28" spans="1:11" ht="15.6" x14ac:dyDescent="0.3">
      <c r="A28" s="234"/>
      <c r="B28" s="518"/>
      <c r="C28" s="519"/>
      <c r="D28" s="519"/>
      <c r="E28" s="519"/>
      <c r="F28" s="519"/>
      <c r="G28" s="520"/>
      <c r="H28" s="235"/>
      <c r="I28" s="236"/>
      <c r="J28" s="237"/>
      <c r="K28" s="237"/>
    </row>
    <row r="29" spans="1:11" ht="15.6" x14ac:dyDescent="0.3">
      <c r="A29" s="234"/>
      <c r="B29" s="518"/>
      <c r="C29" s="519"/>
      <c r="D29" s="519"/>
      <c r="E29" s="519"/>
      <c r="F29" s="519"/>
      <c r="G29" s="520"/>
      <c r="H29" s="235"/>
      <c r="I29" s="236"/>
      <c r="J29" s="237"/>
      <c r="K29" s="237"/>
    </row>
    <row r="30" spans="1:11" x14ac:dyDescent="0.3">
      <c r="A30" s="238"/>
      <c r="B30" s="518"/>
      <c r="C30" s="519"/>
      <c r="D30" s="519"/>
      <c r="E30" s="519"/>
      <c r="F30" s="519"/>
      <c r="G30" s="520"/>
      <c r="H30" s="239"/>
      <c r="I30" s="237"/>
      <c r="J30" s="237"/>
      <c r="K30" s="237"/>
    </row>
    <row r="31" spans="1:11" x14ac:dyDescent="0.3">
      <c r="A31" s="238"/>
      <c r="B31" s="518"/>
      <c r="C31" s="519"/>
      <c r="D31" s="519"/>
      <c r="E31" s="519"/>
      <c r="F31" s="519"/>
      <c r="G31" s="520"/>
      <c r="H31" s="239"/>
      <c r="I31" s="237"/>
      <c r="J31" s="237"/>
      <c r="K31" s="237"/>
    </row>
    <row r="32" spans="1:11" x14ac:dyDescent="0.3">
      <c r="A32" s="238"/>
      <c r="B32" s="518"/>
      <c r="C32" s="519"/>
      <c r="D32" s="519"/>
      <c r="E32" s="519"/>
      <c r="F32" s="519"/>
      <c r="G32" s="520"/>
      <c r="H32" s="239"/>
      <c r="I32" s="237"/>
      <c r="J32" s="237"/>
      <c r="K32" s="237"/>
    </row>
    <row r="33" spans="1:11" x14ac:dyDescent="0.3">
      <c r="A33" s="136"/>
      <c r="B33" s="518"/>
      <c r="C33" s="519"/>
      <c r="D33" s="519"/>
      <c r="E33" s="519"/>
      <c r="F33" s="519"/>
      <c r="G33" s="520"/>
      <c r="H33" s="216"/>
      <c r="I33" s="212"/>
      <c r="J33" s="212"/>
      <c r="K33" s="212"/>
    </row>
    <row r="34" spans="1:11" x14ac:dyDescent="0.3">
      <c r="A34" s="136"/>
      <c r="B34" s="213"/>
      <c r="C34" s="214"/>
      <c r="D34" s="214"/>
      <c r="E34" s="214"/>
      <c r="F34" s="214"/>
      <c r="G34" s="215"/>
      <c r="H34" s="216"/>
      <c r="I34" s="212"/>
      <c r="J34" s="212"/>
      <c r="K34" s="212"/>
    </row>
    <row r="35" spans="1:11" x14ac:dyDescent="0.3">
      <c r="A35" s="136"/>
      <c r="B35" s="213"/>
      <c r="C35" s="214"/>
      <c r="D35" s="214"/>
      <c r="E35" s="214"/>
      <c r="F35" s="214"/>
      <c r="G35" s="215"/>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477" t="s">
        <v>178</v>
      </c>
      <c r="D38" s="477"/>
      <c r="E38" s="477"/>
      <c r="F38" s="477"/>
      <c r="G38" s="478"/>
      <c r="H38" s="406" t="s">
        <v>31</v>
      </c>
      <c r="I38" s="407"/>
      <c r="J38" s="501">
        <f xml:space="preserve"> +SUM(K22+0)</f>
        <v>42600</v>
      </c>
      <c r="K38" s="502"/>
    </row>
    <row r="39" spans="1:11" x14ac:dyDescent="0.3">
      <c r="A39" s="11"/>
      <c r="B39" s="100"/>
      <c r="C39" s="479"/>
      <c r="D39" s="479"/>
      <c r="E39" s="479"/>
      <c r="F39" s="479"/>
      <c r="G39" s="480"/>
      <c r="H39" s="50" t="s">
        <v>32</v>
      </c>
      <c r="I39" s="38">
        <v>0.09</v>
      </c>
      <c r="J39" s="501">
        <f>K22 * I39</f>
        <v>3834</v>
      </c>
      <c r="K39" s="502"/>
    </row>
    <row r="40" spans="1:11" x14ac:dyDescent="0.3">
      <c r="A40" s="11"/>
      <c r="B40" s="100"/>
      <c r="C40" s="240"/>
      <c r="D40" s="240"/>
      <c r="E40" s="240"/>
      <c r="F40" s="240"/>
      <c r="G40" s="241"/>
      <c r="H40" s="50" t="s">
        <v>33</v>
      </c>
      <c r="I40" s="38">
        <v>0.09</v>
      </c>
      <c r="J40" s="501">
        <f>K22 * I40</f>
        <v>3834</v>
      </c>
      <c r="K40" s="502"/>
    </row>
    <row r="41" spans="1:11" x14ac:dyDescent="0.3">
      <c r="A41" s="5"/>
      <c r="B41" s="2"/>
      <c r="C41" s="218"/>
      <c r="D41" s="218"/>
      <c r="E41" s="218"/>
      <c r="F41" s="218"/>
      <c r="G41" s="223"/>
      <c r="H41" s="49" t="s">
        <v>34</v>
      </c>
      <c r="I41" s="275"/>
      <c r="J41" s="503">
        <f>+SUM(J38+J39+J40)</f>
        <v>50268</v>
      </c>
      <c r="K41" s="504"/>
    </row>
    <row r="42" spans="1:11" x14ac:dyDescent="0.3">
      <c r="J42" s="221"/>
      <c r="K42" s="221"/>
    </row>
    <row r="43" spans="1:11" x14ac:dyDescent="0.3">
      <c r="I43" s="280"/>
      <c r="J43" s="221"/>
      <c r="K43" s="221"/>
    </row>
    <row r="44" spans="1:11" x14ac:dyDescent="0.3">
      <c r="A44" s="279" t="s">
        <v>36</v>
      </c>
      <c r="B44" s="279"/>
    </row>
    <row r="45" spans="1:11" x14ac:dyDescent="0.3">
      <c r="A45" s="279" t="s">
        <v>37</v>
      </c>
      <c r="B45" s="279"/>
      <c r="C45" t="s">
        <v>41</v>
      </c>
      <c r="I45" s="405" t="e" vm="2">
        <v>#VALUE!</v>
      </c>
      <c r="J45" s="405"/>
      <c r="K45" s="405"/>
    </row>
    <row r="46" spans="1:11" x14ac:dyDescent="0.3">
      <c r="A46" s="279" t="s">
        <v>38</v>
      </c>
      <c r="B46" s="279"/>
      <c r="C46" s="36" t="s">
        <v>42</v>
      </c>
      <c r="H46" s="119"/>
      <c r="I46" s="405"/>
      <c r="J46" s="405"/>
      <c r="K46" s="405"/>
    </row>
    <row r="47" spans="1:11" x14ac:dyDescent="0.3">
      <c r="A47" s="279" t="s">
        <v>39</v>
      </c>
      <c r="B47" s="279"/>
      <c r="C47" t="s">
        <v>44</v>
      </c>
      <c r="H47" s="119"/>
      <c r="I47" s="405"/>
      <c r="J47" s="405"/>
      <c r="K47" s="405"/>
    </row>
    <row r="48" spans="1:11" x14ac:dyDescent="0.3">
      <c r="A48" s="279" t="s">
        <v>40</v>
      </c>
      <c r="B48" s="279"/>
      <c r="C48" t="s">
        <v>43</v>
      </c>
      <c r="J48" s="54" t="s">
        <v>48</v>
      </c>
    </row>
  </sheetData>
  <mergeCells count="25">
    <mergeCell ref="J40:K40"/>
    <mergeCell ref="J41:K41"/>
    <mergeCell ref="I45:K47"/>
    <mergeCell ref="B22:G33"/>
    <mergeCell ref="A38:B38"/>
    <mergeCell ref="C38:G39"/>
    <mergeCell ref="H38:I38"/>
    <mergeCell ref="J38:K38"/>
    <mergeCell ref="J39:K39"/>
    <mergeCell ref="A12:E12"/>
    <mergeCell ref="G12:K12"/>
    <mergeCell ref="A14:E15"/>
    <mergeCell ref="G14:K15"/>
    <mergeCell ref="G17:H17"/>
    <mergeCell ref="A20:A21"/>
    <mergeCell ref="B20:G21"/>
    <mergeCell ref="H20:H21"/>
    <mergeCell ref="I20:I21"/>
    <mergeCell ref="J20:J21"/>
    <mergeCell ref="A1:E10"/>
    <mergeCell ref="G1:K2"/>
    <mergeCell ref="H5:I5"/>
    <mergeCell ref="H6:J6"/>
    <mergeCell ref="H7:I7"/>
    <mergeCell ref="H9:I9"/>
  </mergeCells>
  <printOptions horizontalCentered="1" verticalCentered="1"/>
  <pageMargins left="0" right="0" top="0" bottom="0" header="0" footer="0"/>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15958-30B9-4187-BD10-C606883B96B4}">
  <sheetPr>
    <pageSetUpPr fitToPage="1"/>
  </sheetPr>
  <dimension ref="A1:K48"/>
  <sheetViews>
    <sheetView showWhiteSpace="0" view="pageBreakPreview" topLeftCell="A16" zoomScale="115" zoomScaleNormal="190" zoomScaleSheetLayoutView="115" zoomScalePageLayoutView="85" workbookViewId="0">
      <selection activeCell="K9" sqref="K9"/>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10.33203125" customWidth="1"/>
    <col min="10" max="10" width="11.33203125" customWidth="1"/>
    <col min="11" max="11" width="11.44140625" customWidth="1"/>
    <col min="12" max="12" width="5.44140625" customWidth="1"/>
  </cols>
  <sheetData>
    <row r="1" spans="1:11" ht="14.25" customHeight="1" x14ac:dyDescent="0.3">
      <c r="A1" s="422" t="e" vm="1">
        <v>#VALUE!</v>
      </c>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180</v>
      </c>
      <c r="H4" s="171"/>
      <c r="I4" s="281"/>
      <c r="J4" s="9"/>
      <c r="K4" s="10"/>
    </row>
    <row r="5" spans="1:11" ht="14.4" customHeight="1" x14ac:dyDescent="0.3">
      <c r="A5" s="422"/>
      <c r="B5" s="422"/>
      <c r="C5" s="422"/>
      <c r="D5" s="422"/>
      <c r="E5" s="422"/>
      <c r="G5" s="49" t="s">
        <v>2</v>
      </c>
      <c r="H5" s="456">
        <v>45727</v>
      </c>
      <c r="I5" s="456"/>
      <c r="J5" s="2"/>
      <c r="K5" s="4"/>
    </row>
    <row r="6" spans="1:11" ht="14.25" customHeight="1" x14ac:dyDescent="0.3">
      <c r="A6" s="422"/>
      <c r="B6" s="422"/>
      <c r="C6" s="422"/>
      <c r="D6" s="422"/>
      <c r="E6" s="422"/>
      <c r="G6" s="278" t="s">
        <v>23</v>
      </c>
      <c r="H6" s="452">
        <v>55255921101261</v>
      </c>
      <c r="I6" s="452"/>
      <c r="J6" s="452"/>
      <c r="K6" s="10"/>
    </row>
    <row r="7" spans="1:11" ht="14.4" customHeight="1" x14ac:dyDescent="0.3">
      <c r="A7" s="422"/>
      <c r="B7" s="422"/>
      <c r="C7" s="422"/>
      <c r="D7" s="422"/>
      <c r="E7" s="422"/>
      <c r="G7" s="49" t="s">
        <v>2</v>
      </c>
      <c r="H7" s="456">
        <v>45756</v>
      </c>
      <c r="I7" s="456"/>
      <c r="J7" s="2"/>
      <c r="K7" s="4"/>
    </row>
    <row r="8" spans="1:11" ht="14.4" customHeight="1" x14ac:dyDescent="0.3">
      <c r="A8" s="422"/>
      <c r="B8" s="422"/>
      <c r="C8" s="422"/>
      <c r="D8" s="422"/>
      <c r="E8" s="422"/>
      <c r="G8" s="278" t="s">
        <v>182</v>
      </c>
      <c r="H8" s="281"/>
      <c r="I8" s="125"/>
      <c r="J8" s="9"/>
      <c r="K8" s="10"/>
    </row>
    <row r="9" spans="1:11" ht="14.4" customHeight="1" x14ac:dyDescent="0.3">
      <c r="A9" s="422"/>
      <c r="B9" s="422"/>
      <c r="C9" s="422"/>
      <c r="D9" s="422"/>
      <c r="E9" s="422"/>
      <c r="G9" s="49" t="s">
        <v>2</v>
      </c>
      <c r="H9" s="456">
        <v>45727</v>
      </c>
      <c r="I9" s="456"/>
      <c r="J9" s="2"/>
      <c r="K9" s="4"/>
    </row>
    <row r="10" spans="1:11" x14ac:dyDescent="0.3">
      <c r="A10" s="422"/>
      <c r="B10" s="422"/>
      <c r="C10" s="422"/>
      <c r="D10" s="422"/>
      <c r="E10" s="422"/>
      <c r="F10" s="100"/>
      <c r="G10" s="128" t="s">
        <v>156</v>
      </c>
      <c r="H10" s="129"/>
      <c r="I10" s="129"/>
      <c r="J10" s="129" t="s">
        <v>157</v>
      </c>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281"/>
      <c r="D13" s="281"/>
      <c r="E13" s="122"/>
      <c r="G13" s="278"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282"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274"/>
      <c r="D18" s="274"/>
      <c r="E18" s="124"/>
      <c r="G18" s="49" t="s">
        <v>75</v>
      </c>
      <c r="H18" s="2"/>
      <c r="I18" s="274"/>
      <c r="J18" s="2"/>
      <c r="K18" s="4"/>
    </row>
    <row r="20" spans="1:11" x14ac:dyDescent="0.3">
      <c r="A20" s="423" t="s">
        <v>25</v>
      </c>
      <c r="B20" s="467" t="s">
        <v>30</v>
      </c>
      <c r="C20" s="418"/>
      <c r="D20" s="418"/>
      <c r="E20" s="418"/>
      <c r="F20" s="418"/>
      <c r="G20" s="419"/>
      <c r="H20" s="419" t="s">
        <v>29</v>
      </c>
      <c r="I20" s="437" t="s">
        <v>60</v>
      </c>
      <c r="J20" s="499" t="s">
        <v>101</v>
      </c>
      <c r="K20" s="276" t="s">
        <v>26</v>
      </c>
    </row>
    <row r="21" spans="1:11" x14ac:dyDescent="0.3">
      <c r="A21" s="424"/>
      <c r="B21" s="468"/>
      <c r="C21" s="420"/>
      <c r="D21" s="420"/>
      <c r="E21" s="420"/>
      <c r="F21" s="420"/>
      <c r="G21" s="421"/>
      <c r="H21" s="421"/>
      <c r="I21" s="449"/>
      <c r="J21" s="500"/>
      <c r="K21" s="277"/>
    </row>
    <row r="22" spans="1:11" ht="14.4" customHeight="1" x14ac:dyDescent="0.3">
      <c r="A22" s="232">
        <v>1</v>
      </c>
      <c r="B22" s="515" t="s">
        <v>177</v>
      </c>
      <c r="C22" s="516"/>
      <c r="D22" s="516"/>
      <c r="E22" s="516"/>
      <c r="F22" s="516"/>
      <c r="G22" s="517"/>
      <c r="H22" s="233">
        <v>7326</v>
      </c>
      <c r="I22" s="232">
        <v>1</v>
      </c>
      <c r="J22" s="160">
        <v>77900</v>
      </c>
      <c r="K22" s="168">
        <f>SUM(J22*I22)</f>
        <v>77900</v>
      </c>
    </row>
    <row r="23" spans="1:11" ht="15.6" x14ac:dyDescent="0.3">
      <c r="A23" s="234"/>
      <c r="B23" s="518"/>
      <c r="C23" s="519"/>
      <c r="D23" s="519"/>
      <c r="E23" s="519"/>
      <c r="F23" s="519"/>
      <c r="G23" s="520"/>
      <c r="H23" s="235"/>
      <c r="I23" s="236"/>
      <c r="J23" s="237"/>
      <c r="K23" s="237"/>
    </row>
    <row r="24" spans="1:11" ht="15.6" x14ac:dyDescent="0.3">
      <c r="A24" s="234"/>
      <c r="B24" s="518"/>
      <c r="C24" s="519"/>
      <c r="D24" s="519"/>
      <c r="E24" s="519"/>
      <c r="F24" s="519"/>
      <c r="G24" s="520"/>
      <c r="H24" s="235"/>
      <c r="I24" s="236"/>
      <c r="J24" s="237"/>
      <c r="K24" s="237"/>
    </row>
    <row r="25" spans="1:11" ht="15.6" x14ac:dyDescent="0.3">
      <c r="A25" s="234"/>
      <c r="B25" s="518"/>
      <c r="C25" s="519"/>
      <c r="D25" s="519"/>
      <c r="E25" s="519"/>
      <c r="F25" s="519"/>
      <c r="G25" s="520"/>
      <c r="H25" s="235"/>
      <c r="I25" s="236"/>
      <c r="J25" s="237"/>
      <c r="K25" s="237"/>
    </row>
    <row r="26" spans="1:11" ht="15.6" x14ac:dyDescent="0.3">
      <c r="A26" s="234"/>
      <c r="B26" s="518"/>
      <c r="C26" s="519"/>
      <c r="D26" s="519"/>
      <c r="E26" s="519"/>
      <c r="F26" s="519"/>
      <c r="G26" s="520"/>
      <c r="H26" s="235"/>
      <c r="I26" s="236"/>
      <c r="J26" s="237"/>
      <c r="K26" s="237"/>
    </row>
    <row r="27" spans="1:11" ht="15.6" x14ac:dyDescent="0.3">
      <c r="A27" s="234"/>
      <c r="B27" s="518"/>
      <c r="C27" s="519"/>
      <c r="D27" s="519"/>
      <c r="E27" s="519"/>
      <c r="F27" s="519"/>
      <c r="G27" s="520"/>
      <c r="H27" s="235"/>
      <c r="I27" s="236"/>
      <c r="J27" s="237"/>
      <c r="K27" s="237"/>
    </row>
    <row r="28" spans="1:11" ht="15.6" x14ac:dyDescent="0.3">
      <c r="A28" s="234"/>
      <c r="B28" s="518"/>
      <c r="C28" s="519"/>
      <c r="D28" s="519"/>
      <c r="E28" s="519"/>
      <c r="F28" s="519"/>
      <c r="G28" s="520"/>
      <c r="H28" s="235"/>
      <c r="I28" s="236"/>
      <c r="J28" s="237"/>
      <c r="K28" s="237"/>
    </row>
    <row r="29" spans="1:11" ht="15.6" x14ac:dyDescent="0.3">
      <c r="A29" s="234"/>
      <c r="B29" s="518"/>
      <c r="C29" s="519"/>
      <c r="D29" s="519"/>
      <c r="E29" s="519"/>
      <c r="F29" s="519"/>
      <c r="G29" s="520"/>
      <c r="H29" s="235"/>
      <c r="I29" s="236"/>
      <c r="J29" s="237"/>
      <c r="K29" s="237"/>
    </row>
    <row r="30" spans="1:11" ht="14.4" customHeight="1" x14ac:dyDescent="0.3">
      <c r="A30" s="238"/>
      <c r="B30" s="518"/>
      <c r="C30" s="519"/>
      <c r="D30" s="519"/>
      <c r="E30" s="519"/>
      <c r="F30" s="519"/>
      <c r="G30" s="520"/>
      <c r="H30" s="239"/>
      <c r="I30" s="237"/>
      <c r="J30" s="237"/>
      <c r="K30" s="237"/>
    </row>
    <row r="31" spans="1:11" ht="14.4" customHeight="1" x14ac:dyDescent="0.3">
      <c r="A31" s="238"/>
      <c r="B31" s="518"/>
      <c r="C31" s="519"/>
      <c r="D31" s="519"/>
      <c r="E31" s="519"/>
      <c r="F31" s="519"/>
      <c r="G31" s="520"/>
      <c r="H31" s="239"/>
      <c r="I31" s="237"/>
      <c r="J31" s="237"/>
      <c r="K31" s="237"/>
    </row>
    <row r="32" spans="1:11" ht="14.4" customHeight="1" x14ac:dyDescent="0.3">
      <c r="A32" s="238"/>
      <c r="B32" s="518"/>
      <c r="C32" s="519"/>
      <c r="D32" s="519"/>
      <c r="E32" s="519"/>
      <c r="F32" s="519"/>
      <c r="G32" s="520"/>
      <c r="H32" s="239"/>
      <c r="I32" s="237"/>
      <c r="J32" s="237"/>
      <c r="K32" s="237"/>
    </row>
    <row r="33" spans="1:11" ht="14.4" customHeight="1" x14ac:dyDescent="0.3">
      <c r="A33" s="136"/>
      <c r="B33" s="518"/>
      <c r="C33" s="519"/>
      <c r="D33" s="519"/>
      <c r="E33" s="519"/>
      <c r="F33" s="519"/>
      <c r="G33" s="520"/>
      <c r="H33" s="216"/>
      <c r="I33" s="212"/>
      <c r="J33" s="212"/>
      <c r="K33" s="212"/>
    </row>
    <row r="34" spans="1:11" x14ac:dyDescent="0.3">
      <c r="A34" s="136"/>
      <c r="B34" s="213"/>
      <c r="C34" s="214"/>
      <c r="D34" s="214"/>
      <c r="E34" s="214"/>
      <c r="F34" s="214"/>
      <c r="G34" s="215"/>
      <c r="H34" s="216"/>
      <c r="I34" s="212"/>
      <c r="J34" s="212"/>
      <c r="K34" s="212"/>
    </row>
    <row r="35" spans="1:11" x14ac:dyDescent="0.3">
      <c r="A35" s="136"/>
      <c r="B35" s="213"/>
      <c r="C35" s="214"/>
      <c r="D35" s="214"/>
      <c r="E35" s="214"/>
      <c r="F35" s="214"/>
      <c r="G35" s="215"/>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477" t="s">
        <v>179</v>
      </c>
      <c r="D38" s="477"/>
      <c r="E38" s="477"/>
      <c r="F38" s="477"/>
      <c r="G38" s="478"/>
      <c r="H38" s="406" t="s">
        <v>31</v>
      </c>
      <c r="I38" s="407"/>
      <c r="J38" s="501">
        <f xml:space="preserve"> +SUM(K22+0)</f>
        <v>77900</v>
      </c>
      <c r="K38" s="502"/>
    </row>
    <row r="39" spans="1:11" x14ac:dyDescent="0.3">
      <c r="A39" s="11"/>
      <c r="B39" s="100"/>
      <c r="C39" s="479"/>
      <c r="D39" s="479"/>
      <c r="E39" s="479"/>
      <c r="F39" s="479"/>
      <c r="G39" s="480"/>
      <c r="H39" s="50" t="s">
        <v>32</v>
      </c>
      <c r="I39" s="38">
        <v>0.09</v>
      </c>
      <c r="J39" s="501">
        <f>K22 * I39</f>
        <v>7011</v>
      </c>
      <c r="K39" s="502"/>
    </row>
    <row r="40" spans="1:11" x14ac:dyDescent="0.3">
      <c r="A40" s="11"/>
      <c r="B40" s="100"/>
      <c r="C40" s="240"/>
      <c r="D40" s="240"/>
      <c r="E40" s="240"/>
      <c r="F40" s="240"/>
      <c r="G40" s="241"/>
      <c r="H40" s="50" t="s">
        <v>33</v>
      </c>
      <c r="I40" s="38">
        <v>0.09</v>
      </c>
      <c r="J40" s="501">
        <f>K22 * I40</f>
        <v>7011</v>
      </c>
      <c r="K40" s="502"/>
    </row>
    <row r="41" spans="1:11" x14ac:dyDescent="0.3">
      <c r="A41" s="5"/>
      <c r="B41" s="2"/>
      <c r="C41" s="218"/>
      <c r="D41" s="218"/>
      <c r="E41" s="218"/>
      <c r="F41" s="218"/>
      <c r="G41" s="223"/>
      <c r="H41" s="49" t="s">
        <v>34</v>
      </c>
      <c r="I41" s="275"/>
      <c r="J41" s="503">
        <f>+SUM(J38+J39+J40)</f>
        <v>91922</v>
      </c>
      <c r="K41" s="504"/>
    </row>
    <row r="42" spans="1:11" x14ac:dyDescent="0.3">
      <c r="J42" s="221"/>
      <c r="K42" s="221"/>
    </row>
    <row r="43" spans="1:11" x14ac:dyDescent="0.3">
      <c r="J43" s="221"/>
      <c r="K43" s="221"/>
    </row>
    <row r="44" spans="1:11" x14ac:dyDescent="0.3">
      <c r="A44" s="279" t="s">
        <v>36</v>
      </c>
      <c r="B44" s="279"/>
    </row>
    <row r="45" spans="1:11" x14ac:dyDescent="0.3">
      <c r="A45" s="279" t="s">
        <v>37</v>
      </c>
      <c r="B45" s="279"/>
      <c r="C45" t="s">
        <v>41</v>
      </c>
      <c r="I45" s="405" t="e" vm="2">
        <v>#VALUE!</v>
      </c>
      <c r="J45" s="405"/>
      <c r="K45" s="405"/>
    </row>
    <row r="46" spans="1:11" x14ac:dyDescent="0.3">
      <c r="A46" s="279" t="s">
        <v>38</v>
      </c>
      <c r="B46" s="279"/>
      <c r="C46" s="36" t="s">
        <v>42</v>
      </c>
      <c r="H46" s="119"/>
      <c r="I46" s="405"/>
      <c r="J46" s="405"/>
      <c r="K46" s="405"/>
    </row>
    <row r="47" spans="1:11" x14ac:dyDescent="0.3">
      <c r="A47" s="279" t="s">
        <v>39</v>
      </c>
      <c r="B47" s="279"/>
      <c r="C47" t="s">
        <v>44</v>
      </c>
      <c r="H47" s="119"/>
      <c r="I47" s="405"/>
      <c r="J47" s="405"/>
      <c r="K47" s="405"/>
    </row>
    <row r="48" spans="1:11" x14ac:dyDescent="0.3">
      <c r="A48" s="279" t="s">
        <v>40</v>
      </c>
      <c r="B48" s="279"/>
      <c r="C48" t="s">
        <v>43</v>
      </c>
      <c r="J48" s="54" t="s">
        <v>48</v>
      </c>
    </row>
  </sheetData>
  <mergeCells count="25">
    <mergeCell ref="J40:K40"/>
    <mergeCell ref="J41:K41"/>
    <mergeCell ref="I45:K47"/>
    <mergeCell ref="B22:G33"/>
    <mergeCell ref="A38:B38"/>
    <mergeCell ref="C38:G39"/>
    <mergeCell ref="H38:I38"/>
    <mergeCell ref="J38:K38"/>
    <mergeCell ref="J39:K39"/>
    <mergeCell ref="A12:E12"/>
    <mergeCell ref="G12:K12"/>
    <mergeCell ref="A14:E15"/>
    <mergeCell ref="G14:K15"/>
    <mergeCell ref="G17:H17"/>
    <mergeCell ref="A20:A21"/>
    <mergeCell ref="B20:G21"/>
    <mergeCell ref="H20:H21"/>
    <mergeCell ref="I20:I21"/>
    <mergeCell ref="J20:J21"/>
    <mergeCell ref="A1:E10"/>
    <mergeCell ref="G1:K2"/>
    <mergeCell ref="H5:I5"/>
    <mergeCell ref="H6:J6"/>
    <mergeCell ref="H7:I7"/>
    <mergeCell ref="H9:I9"/>
  </mergeCells>
  <printOptions horizontalCentered="1" verticalCentered="1"/>
  <pageMargins left="0" right="0" top="0" bottom="0" header="0" footer="0"/>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55A7D-A18F-412B-91C2-6ABB689189E5}">
  <sheetPr>
    <pageSetUpPr fitToPage="1"/>
  </sheetPr>
  <dimension ref="A1:K48"/>
  <sheetViews>
    <sheetView showWhiteSpace="0" view="pageBreakPreview" topLeftCell="A10" zoomScale="115" zoomScaleNormal="190" zoomScaleSheetLayoutView="115" zoomScalePageLayoutView="85" workbookViewId="0">
      <selection activeCell="I22" sqref="I22"/>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10.33203125" customWidth="1"/>
    <col min="10" max="10" width="11.33203125" customWidth="1"/>
    <col min="11" max="11" width="11.44140625" customWidth="1"/>
    <col min="12" max="12" width="5.44140625" customWidth="1"/>
  </cols>
  <sheetData>
    <row r="1" spans="1:11" ht="14.25" customHeight="1" x14ac:dyDescent="0.3">
      <c r="A1" s="422" t="e" vm="1">
        <v>#VALUE!</v>
      </c>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189</v>
      </c>
      <c r="H4" s="171"/>
      <c r="I4" s="297"/>
      <c r="J4" s="9"/>
      <c r="K4" s="10"/>
    </row>
    <row r="5" spans="1:11" ht="14.4" customHeight="1" x14ac:dyDescent="0.3">
      <c r="A5" s="422"/>
      <c r="B5" s="422"/>
      <c r="C5" s="422"/>
      <c r="D5" s="422"/>
      <c r="E5" s="422"/>
      <c r="G5" s="49" t="s">
        <v>2</v>
      </c>
      <c r="H5" s="456" t="s">
        <v>190</v>
      </c>
      <c r="I5" s="456"/>
      <c r="J5" s="2"/>
      <c r="K5" s="4"/>
    </row>
    <row r="6" spans="1:11" ht="14.25" customHeight="1" x14ac:dyDescent="0.3">
      <c r="A6" s="422"/>
      <c r="B6" s="422"/>
      <c r="C6" s="422"/>
      <c r="D6" s="422"/>
      <c r="E6" s="422"/>
      <c r="G6" s="295" t="s">
        <v>23</v>
      </c>
      <c r="H6" s="452">
        <v>55255963201180</v>
      </c>
      <c r="I6" s="452"/>
      <c r="J6" s="452"/>
      <c r="K6" s="10"/>
    </row>
    <row r="7" spans="1:11" ht="14.4" customHeight="1" x14ac:dyDescent="0.3">
      <c r="A7" s="422"/>
      <c r="B7" s="422"/>
      <c r="C7" s="422"/>
      <c r="D7" s="422"/>
      <c r="E7" s="422"/>
      <c r="G7" s="49" t="s">
        <v>2</v>
      </c>
      <c r="H7" s="456" t="s">
        <v>191</v>
      </c>
      <c r="I7" s="456"/>
      <c r="J7" s="2"/>
      <c r="K7" s="4"/>
    </row>
    <row r="8" spans="1:11" ht="14.4" customHeight="1" x14ac:dyDescent="0.3">
      <c r="A8" s="422"/>
      <c r="B8" s="422"/>
      <c r="C8" s="422"/>
      <c r="D8" s="422"/>
      <c r="E8" s="422"/>
      <c r="G8" s="295" t="s">
        <v>195</v>
      </c>
      <c r="H8" s="297"/>
      <c r="I8" s="125"/>
      <c r="J8" s="9"/>
      <c r="K8" s="10"/>
    </row>
    <row r="9" spans="1:11" ht="14.4" customHeight="1" x14ac:dyDescent="0.3">
      <c r="A9" s="422"/>
      <c r="B9" s="422"/>
      <c r="C9" s="422"/>
      <c r="D9" s="422"/>
      <c r="E9" s="422"/>
      <c r="G9" s="49" t="s">
        <v>2</v>
      </c>
      <c r="H9" s="456" t="s">
        <v>190</v>
      </c>
      <c r="I9" s="456"/>
      <c r="J9" s="2"/>
      <c r="K9" s="4"/>
    </row>
    <row r="10" spans="1:11" x14ac:dyDescent="0.3">
      <c r="A10" s="422"/>
      <c r="B10" s="422"/>
      <c r="C10" s="422"/>
      <c r="D10" s="422"/>
      <c r="E10" s="422"/>
      <c r="F10" s="100"/>
      <c r="G10" s="128" t="s">
        <v>156</v>
      </c>
      <c r="H10" s="129"/>
      <c r="I10" s="129"/>
      <c r="J10" s="129" t="s">
        <v>157</v>
      </c>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297"/>
      <c r="D13" s="297"/>
      <c r="E13" s="122"/>
      <c r="G13" s="295"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298"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291"/>
      <c r="D18" s="291"/>
      <c r="E18" s="124"/>
      <c r="G18" s="49" t="s">
        <v>75</v>
      </c>
      <c r="H18" s="2"/>
      <c r="I18" s="291"/>
      <c r="J18" s="2"/>
      <c r="K18" s="4"/>
    </row>
    <row r="20" spans="1:11" x14ac:dyDescent="0.3">
      <c r="A20" s="423" t="s">
        <v>25</v>
      </c>
      <c r="B20" s="467" t="s">
        <v>30</v>
      </c>
      <c r="C20" s="418"/>
      <c r="D20" s="418"/>
      <c r="E20" s="418"/>
      <c r="F20" s="418"/>
      <c r="G20" s="419"/>
      <c r="H20" s="419" t="s">
        <v>29</v>
      </c>
      <c r="I20" s="437" t="s">
        <v>104</v>
      </c>
      <c r="J20" s="499" t="s">
        <v>101</v>
      </c>
      <c r="K20" s="293" t="s">
        <v>26</v>
      </c>
    </row>
    <row r="21" spans="1:11" x14ac:dyDescent="0.3">
      <c r="A21" s="424"/>
      <c r="B21" s="468"/>
      <c r="C21" s="420"/>
      <c r="D21" s="420"/>
      <c r="E21" s="420"/>
      <c r="F21" s="420"/>
      <c r="G21" s="421"/>
      <c r="H21" s="421"/>
      <c r="I21" s="449"/>
      <c r="J21" s="500"/>
      <c r="K21" s="294"/>
    </row>
    <row r="22" spans="1:11" ht="14.4" customHeight="1" x14ac:dyDescent="0.3">
      <c r="A22" s="232">
        <v>1</v>
      </c>
      <c r="B22" s="515" t="s">
        <v>193</v>
      </c>
      <c r="C22" s="516"/>
      <c r="D22" s="516"/>
      <c r="E22" s="516"/>
      <c r="F22" s="516"/>
      <c r="G22" s="517"/>
      <c r="H22" s="523" t="s">
        <v>194</v>
      </c>
      <c r="I22" s="232">
        <v>4</v>
      </c>
      <c r="J22" s="160">
        <v>10169.49</v>
      </c>
      <c r="K22" s="168">
        <f>SUM(J22*I22)</f>
        <v>40677.96</v>
      </c>
    </row>
    <row r="23" spans="1:11" ht="15.6" x14ac:dyDescent="0.3">
      <c r="A23" s="234"/>
      <c r="B23" s="518"/>
      <c r="C23" s="519"/>
      <c r="D23" s="519"/>
      <c r="E23" s="519"/>
      <c r="F23" s="519"/>
      <c r="G23" s="520"/>
      <c r="H23" s="524"/>
      <c r="I23" s="236"/>
      <c r="J23" s="237"/>
      <c r="K23" s="237"/>
    </row>
    <row r="24" spans="1:11" ht="15.6" x14ac:dyDescent="0.3">
      <c r="A24" s="234"/>
      <c r="B24" s="518"/>
      <c r="C24" s="519"/>
      <c r="D24" s="519"/>
      <c r="E24" s="519"/>
      <c r="F24" s="519"/>
      <c r="G24" s="520"/>
      <c r="H24" s="235"/>
      <c r="I24" s="236"/>
      <c r="J24" s="237"/>
      <c r="K24" s="237"/>
    </row>
    <row r="25" spans="1:11" ht="15.6" x14ac:dyDescent="0.3">
      <c r="A25" s="234"/>
      <c r="B25" s="518"/>
      <c r="C25" s="519"/>
      <c r="D25" s="519"/>
      <c r="E25" s="519"/>
      <c r="F25" s="519"/>
      <c r="G25" s="520"/>
      <c r="H25" s="235"/>
      <c r="I25" s="236"/>
      <c r="J25" s="237"/>
      <c r="K25" s="237"/>
    </row>
    <row r="26" spans="1:11" ht="15.6" x14ac:dyDescent="0.3">
      <c r="A26" s="234"/>
      <c r="B26" s="518"/>
      <c r="C26" s="519"/>
      <c r="D26" s="519"/>
      <c r="E26" s="519"/>
      <c r="F26" s="519"/>
      <c r="G26" s="520"/>
      <c r="H26" s="235"/>
      <c r="I26" s="236"/>
      <c r="J26" s="237"/>
      <c r="K26" s="237"/>
    </row>
    <row r="27" spans="1:11" ht="15.6" x14ac:dyDescent="0.3">
      <c r="A27" s="234"/>
      <c r="B27" s="518"/>
      <c r="C27" s="519"/>
      <c r="D27" s="519"/>
      <c r="E27" s="519"/>
      <c r="F27" s="519"/>
      <c r="G27" s="520"/>
      <c r="H27" s="235"/>
      <c r="I27" s="236"/>
      <c r="J27" s="237"/>
      <c r="K27" s="237"/>
    </row>
    <row r="28" spans="1:11" ht="15.6" x14ac:dyDescent="0.3">
      <c r="A28" s="234"/>
      <c r="B28" s="518"/>
      <c r="C28" s="519"/>
      <c r="D28" s="519"/>
      <c r="E28" s="519"/>
      <c r="F28" s="519"/>
      <c r="G28" s="520"/>
      <c r="H28" s="235"/>
      <c r="I28" s="236"/>
      <c r="J28" s="237"/>
      <c r="K28" s="237"/>
    </row>
    <row r="29" spans="1:11" ht="15.6" x14ac:dyDescent="0.3">
      <c r="A29" s="234"/>
      <c r="B29" s="518"/>
      <c r="C29" s="519"/>
      <c r="D29" s="519"/>
      <c r="E29" s="519"/>
      <c r="F29" s="519"/>
      <c r="G29" s="520"/>
      <c r="H29" s="235"/>
      <c r="I29" s="236"/>
      <c r="J29" s="237"/>
      <c r="K29" s="237"/>
    </row>
    <row r="30" spans="1:11" ht="14.4" customHeight="1" x14ac:dyDescent="0.3">
      <c r="A30" s="238"/>
      <c r="B30" s="518"/>
      <c r="C30" s="519"/>
      <c r="D30" s="519"/>
      <c r="E30" s="519"/>
      <c r="F30" s="519"/>
      <c r="G30" s="520"/>
      <c r="H30" s="239"/>
      <c r="I30" s="237"/>
      <c r="J30" s="237"/>
      <c r="K30" s="237"/>
    </row>
    <row r="31" spans="1:11" ht="14.4" customHeight="1" x14ac:dyDescent="0.3">
      <c r="A31" s="238"/>
      <c r="B31" s="518"/>
      <c r="C31" s="519"/>
      <c r="D31" s="519"/>
      <c r="E31" s="519"/>
      <c r="F31" s="519"/>
      <c r="G31" s="520"/>
      <c r="H31" s="239"/>
      <c r="I31" s="237"/>
      <c r="J31" s="237"/>
      <c r="K31" s="237"/>
    </row>
    <row r="32" spans="1:11" ht="14.4" customHeight="1" x14ac:dyDescent="0.3">
      <c r="A32" s="238"/>
      <c r="B32" s="518"/>
      <c r="C32" s="519"/>
      <c r="D32" s="519"/>
      <c r="E32" s="519"/>
      <c r="F32" s="519"/>
      <c r="G32" s="520"/>
      <c r="H32" s="239"/>
      <c r="I32" s="237"/>
      <c r="J32" s="237"/>
      <c r="K32" s="237"/>
    </row>
    <row r="33" spans="1:11" ht="14.4" customHeight="1" x14ac:dyDescent="0.3">
      <c r="A33" s="136"/>
      <c r="B33" s="518"/>
      <c r="C33" s="519"/>
      <c r="D33" s="519"/>
      <c r="E33" s="519"/>
      <c r="F33" s="519"/>
      <c r="G33" s="520"/>
      <c r="H33" s="216"/>
      <c r="I33" s="212"/>
      <c r="J33" s="212"/>
      <c r="K33" s="212"/>
    </row>
    <row r="34" spans="1:11" x14ac:dyDescent="0.3">
      <c r="A34" s="136"/>
      <c r="B34" s="213"/>
      <c r="C34" s="214"/>
      <c r="D34" s="214"/>
      <c r="E34" s="214"/>
      <c r="F34" s="214"/>
      <c r="G34" s="215"/>
      <c r="H34" s="216"/>
      <c r="I34" s="212"/>
      <c r="J34" s="212"/>
      <c r="K34" s="212"/>
    </row>
    <row r="35" spans="1:11" x14ac:dyDescent="0.3">
      <c r="A35" s="136"/>
      <c r="B35" s="213"/>
      <c r="C35" s="214"/>
      <c r="D35" s="214"/>
      <c r="E35" s="214"/>
      <c r="F35" s="214"/>
      <c r="G35" s="215"/>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477" t="s">
        <v>192</v>
      </c>
      <c r="D38" s="477"/>
      <c r="E38" s="477"/>
      <c r="F38" s="477"/>
      <c r="G38" s="478"/>
      <c r="H38" s="406" t="s">
        <v>31</v>
      </c>
      <c r="I38" s="407"/>
      <c r="J38" s="501">
        <f xml:space="preserve"> +SUM(K22+0)</f>
        <v>40677.96</v>
      </c>
      <c r="K38" s="502"/>
    </row>
    <row r="39" spans="1:11" x14ac:dyDescent="0.3">
      <c r="A39" s="11"/>
      <c r="B39" s="100"/>
      <c r="C39" s="479"/>
      <c r="D39" s="479"/>
      <c r="E39" s="479"/>
      <c r="F39" s="479"/>
      <c r="G39" s="480"/>
      <c r="H39" s="50" t="s">
        <v>32</v>
      </c>
      <c r="I39" s="38">
        <v>0.09</v>
      </c>
      <c r="J39" s="501">
        <f>K22 * I39</f>
        <v>3661.0164</v>
      </c>
      <c r="K39" s="502"/>
    </row>
    <row r="40" spans="1:11" x14ac:dyDescent="0.3">
      <c r="A40" s="11"/>
      <c r="B40" s="100"/>
      <c r="C40" s="240"/>
      <c r="D40" s="240"/>
      <c r="E40" s="240"/>
      <c r="F40" s="240"/>
      <c r="G40" s="241"/>
      <c r="H40" s="50" t="s">
        <v>33</v>
      </c>
      <c r="I40" s="38">
        <v>0.09</v>
      </c>
      <c r="J40" s="501">
        <f>K22 * I40</f>
        <v>3661.0164</v>
      </c>
      <c r="K40" s="502"/>
    </row>
    <row r="41" spans="1:11" x14ac:dyDescent="0.3">
      <c r="A41" s="5"/>
      <c r="B41" s="2"/>
      <c r="C41" s="218"/>
      <c r="D41" s="218"/>
      <c r="E41" s="218"/>
      <c r="F41" s="218"/>
      <c r="G41" s="223"/>
      <c r="H41" s="49" t="s">
        <v>34</v>
      </c>
      <c r="I41" s="292"/>
      <c r="J41" s="521">
        <f>+SUM(J38+J39+J40)</f>
        <v>47999.9928</v>
      </c>
      <c r="K41" s="522"/>
    </row>
    <row r="42" spans="1:11" x14ac:dyDescent="0.3">
      <c r="J42" s="221"/>
      <c r="K42" s="221"/>
    </row>
    <row r="43" spans="1:11" x14ac:dyDescent="0.3">
      <c r="J43" s="221"/>
      <c r="K43" s="221"/>
    </row>
    <row r="44" spans="1:11" x14ac:dyDescent="0.3">
      <c r="A44" s="296" t="s">
        <v>36</v>
      </c>
      <c r="B44" s="296"/>
    </row>
    <row r="45" spans="1:11" x14ac:dyDescent="0.3">
      <c r="A45" s="296" t="s">
        <v>37</v>
      </c>
      <c r="B45" s="296"/>
      <c r="C45" t="s">
        <v>41</v>
      </c>
      <c r="I45" s="405" t="e" vm="2">
        <v>#VALUE!</v>
      </c>
      <c r="J45" s="405"/>
      <c r="K45" s="405"/>
    </row>
    <row r="46" spans="1:11" x14ac:dyDescent="0.3">
      <c r="A46" s="296" t="s">
        <v>38</v>
      </c>
      <c r="B46" s="296"/>
      <c r="C46" s="36" t="s">
        <v>42</v>
      </c>
      <c r="H46" s="119"/>
      <c r="I46" s="405"/>
      <c r="J46" s="405"/>
      <c r="K46" s="405"/>
    </row>
    <row r="47" spans="1:11" x14ac:dyDescent="0.3">
      <c r="A47" s="296" t="s">
        <v>39</v>
      </c>
      <c r="B47" s="296"/>
      <c r="C47" t="s">
        <v>44</v>
      </c>
      <c r="H47" s="119"/>
      <c r="I47" s="405"/>
      <c r="J47" s="405"/>
      <c r="K47" s="405"/>
    </row>
    <row r="48" spans="1:11" x14ac:dyDescent="0.3">
      <c r="A48" s="296" t="s">
        <v>40</v>
      </c>
      <c r="B48" s="296"/>
      <c r="C48" t="s">
        <v>43</v>
      </c>
      <c r="J48" s="54" t="s">
        <v>48</v>
      </c>
    </row>
  </sheetData>
  <mergeCells count="26">
    <mergeCell ref="J40:K40"/>
    <mergeCell ref="J41:K41"/>
    <mergeCell ref="I45:K47"/>
    <mergeCell ref="H22:H23"/>
    <mergeCell ref="B22:G33"/>
    <mergeCell ref="A38:B38"/>
    <mergeCell ref="C38:G39"/>
    <mergeCell ref="H38:I38"/>
    <mergeCell ref="J38:K38"/>
    <mergeCell ref="J39:K39"/>
    <mergeCell ref="A12:E12"/>
    <mergeCell ref="G12:K12"/>
    <mergeCell ref="A14:E15"/>
    <mergeCell ref="G14:K15"/>
    <mergeCell ref="G17:H17"/>
    <mergeCell ref="A20:A21"/>
    <mergeCell ref="B20:G21"/>
    <mergeCell ref="H20:H21"/>
    <mergeCell ref="I20:I21"/>
    <mergeCell ref="J20:J21"/>
    <mergeCell ref="A1:E10"/>
    <mergeCell ref="G1:K2"/>
    <mergeCell ref="H5:I5"/>
    <mergeCell ref="H6:J6"/>
    <mergeCell ref="H7:I7"/>
    <mergeCell ref="H9:I9"/>
  </mergeCells>
  <printOptions horizontalCentered="1" verticalCentered="1"/>
  <pageMargins left="0" right="0" top="0" bottom="0" header="0" footer="0"/>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00574-35CB-49C7-AAF9-19A809389E70}">
  <sheetPr>
    <pageSetUpPr fitToPage="1"/>
  </sheetPr>
  <dimension ref="A1:K48"/>
  <sheetViews>
    <sheetView showWhiteSpace="0" view="pageBreakPreview" zoomScale="115" zoomScaleNormal="190" zoomScaleSheetLayoutView="115" zoomScalePageLayoutView="85" workbookViewId="0">
      <selection activeCell="B27" sqref="B27:G30"/>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11.5546875" customWidth="1"/>
    <col min="10" max="10" width="11.33203125" customWidth="1"/>
    <col min="11" max="11" width="11.44140625" customWidth="1"/>
    <col min="12" max="12" width="5.44140625" customWidth="1"/>
  </cols>
  <sheetData>
    <row r="1" spans="1:11" ht="14.25" customHeight="1" x14ac:dyDescent="0.3">
      <c r="A1" s="422" t="e" vm="1">
        <v>#VALUE!</v>
      </c>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200</v>
      </c>
      <c r="H4" s="171"/>
      <c r="I4" s="305"/>
      <c r="J4" s="9"/>
      <c r="K4" s="10"/>
    </row>
    <row r="5" spans="1:11" ht="14.4" customHeight="1" x14ac:dyDescent="0.3">
      <c r="A5" s="422"/>
      <c r="B5" s="422"/>
      <c r="C5" s="422"/>
      <c r="D5" s="422"/>
      <c r="E5" s="422"/>
      <c r="G5" s="49" t="s">
        <v>2</v>
      </c>
      <c r="H5" s="456" t="s">
        <v>203</v>
      </c>
      <c r="I5" s="456"/>
      <c r="J5" s="2"/>
      <c r="K5" s="4"/>
    </row>
    <row r="6" spans="1:11" ht="14.25" customHeight="1" x14ac:dyDescent="0.3">
      <c r="A6" s="422"/>
      <c r="B6" s="422"/>
      <c r="C6" s="422"/>
      <c r="D6" s="422"/>
      <c r="E6" s="422"/>
      <c r="G6" s="300" t="s">
        <v>23</v>
      </c>
      <c r="H6" s="452">
        <v>55256280101583</v>
      </c>
      <c r="I6" s="452"/>
      <c r="J6" s="452"/>
      <c r="K6" s="10"/>
    </row>
    <row r="7" spans="1:11" ht="14.4" customHeight="1" x14ac:dyDescent="0.3">
      <c r="A7" s="422"/>
      <c r="B7" s="422"/>
      <c r="C7" s="422"/>
      <c r="D7" s="422"/>
      <c r="E7" s="422"/>
      <c r="G7" s="49" t="s">
        <v>2</v>
      </c>
      <c r="H7" s="456" t="s">
        <v>202</v>
      </c>
      <c r="I7" s="456"/>
      <c r="J7" s="2"/>
      <c r="K7" s="4"/>
    </row>
    <row r="8" spans="1:11" ht="14.4" customHeight="1" x14ac:dyDescent="0.3">
      <c r="A8" s="422"/>
      <c r="B8" s="422"/>
      <c r="C8" s="422"/>
      <c r="D8" s="422"/>
      <c r="E8" s="422"/>
      <c r="G8" s="300" t="s">
        <v>201</v>
      </c>
      <c r="H8" s="305"/>
      <c r="I8" s="125"/>
      <c r="J8" s="9"/>
      <c r="K8" s="10"/>
    </row>
    <row r="9" spans="1:11" ht="14.4" customHeight="1" x14ac:dyDescent="0.3">
      <c r="A9" s="422"/>
      <c r="B9" s="422"/>
      <c r="C9" s="422"/>
      <c r="D9" s="422"/>
      <c r="E9" s="422"/>
      <c r="G9" s="49" t="s">
        <v>2</v>
      </c>
      <c r="H9" s="456" t="s">
        <v>203</v>
      </c>
      <c r="I9" s="456"/>
      <c r="J9" s="2"/>
      <c r="K9" s="4"/>
    </row>
    <row r="10" spans="1:11" x14ac:dyDescent="0.3">
      <c r="A10" s="422"/>
      <c r="B10" s="422"/>
      <c r="C10" s="422"/>
      <c r="D10" s="422"/>
      <c r="E10" s="422"/>
      <c r="F10" s="100"/>
      <c r="G10" s="525" t="s">
        <v>214</v>
      </c>
      <c r="H10" s="526"/>
      <c r="I10" s="526"/>
      <c r="J10" s="171" t="s">
        <v>215</v>
      </c>
      <c r="K10" s="330"/>
    </row>
    <row r="11" spans="1:11" ht="14.25" customHeight="1" x14ac:dyDescent="0.3">
      <c r="F11" s="100"/>
      <c r="G11" s="527"/>
      <c r="H11" s="528"/>
      <c r="I11" s="528"/>
      <c r="J11" s="171" t="s">
        <v>216</v>
      </c>
      <c r="K11" s="4"/>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305"/>
      <c r="D13" s="305"/>
      <c r="E13" s="122"/>
      <c r="G13" s="300"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306"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303"/>
      <c r="D18" s="303"/>
      <c r="E18" s="124"/>
      <c r="G18" s="49" t="s">
        <v>75</v>
      </c>
      <c r="H18" s="2"/>
      <c r="I18" s="303"/>
      <c r="J18" s="2"/>
      <c r="K18" s="4"/>
    </row>
    <row r="20" spans="1:11" x14ac:dyDescent="0.3">
      <c r="A20" s="423" t="s">
        <v>25</v>
      </c>
      <c r="B20" s="467" t="s">
        <v>30</v>
      </c>
      <c r="C20" s="418"/>
      <c r="D20" s="418"/>
      <c r="E20" s="418"/>
      <c r="F20" s="418"/>
      <c r="G20" s="419"/>
      <c r="H20" s="419" t="s">
        <v>29</v>
      </c>
      <c r="I20" s="437" t="s">
        <v>104</v>
      </c>
      <c r="J20" s="499" t="s">
        <v>101</v>
      </c>
      <c r="K20" s="301" t="s">
        <v>26</v>
      </c>
    </row>
    <row r="21" spans="1:11" x14ac:dyDescent="0.3">
      <c r="A21" s="424"/>
      <c r="B21" s="468"/>
      <c r="C21" s="420"/>
      <c r="D21" s="420"/>
      <c r="E21" s="420"/>
      <c r="F21" s="420"/>
      <c r="G21" s="421"/>
      <c r="H21" s="421"/>
      <c r="I21" s="449"/>
      <c r="J21" s="500"/>
      <c r="K21" s="302"/>
    </row>
    <row r="22" spans="1:11" ht="14.4" customHeight="1" x14ac:dyDescent="0.3">
      <c r="A22" s="232">
        <v>1</v>
      </c>
      <c r="B22" s="515" t="s">
        <v>204</v>
      </c>
      <c r="C22" s="516"/>
      <c r="D22" s="516"/>
      <c r="E22" s="516"/>
      <c r="F22" s="516"/>
      <c r="G22" s="517"/>
      <c r="H22" s="523">
        <v>8481</v>
      </c>
      <c r="I22" s="232">
        <v>1</v>
      </c>
      <c r="J22" s="160">
        <v>25000</v>
      </c>
      <c r="K22" s="168">
        <f>SUM(J22*I22)</f>
        <v>25000</v>
      </c>
    </row>
    <row r="23" spans="1:11" ht="15.6" x14ac:dyDescent="0.3">
      <c r="A23" s="234"/>
      <c r="B23" s="518"/>
      <c r="C23" s="519"/>
      <c r="D23" s="519"/>
      <c r="E23" s="519"/>
      <c r="F23" s="519"/>
      <c r="G23" s="520"/>
      <c r="H23" s="524"/>
      <c r="I23" s="236"/>
      <c r="J23" s="237"/>
      <c r="K23" s="237"/>
    </row>
    <row r="24" spans="1:11" ht="15.6" x14ac:dyDescent="0.3">
      <c r="A24" s="234"/>
      <c r="B24" s="518"/>
      <c r="C24" s="519"/>
      <c r="D24" s="519"/>
      <c r="E24" s="519"/>
      <c r="F24" s="519"/>
      <c r="G24" s="520"/>
      <c r="H24" s="235"/>
      <c r="I24" s="236"/>
      <c r="J24" s="237"/>
      <c r="K24" s="237"/>
    </row>
    <row r="25" spans="1:11" ht="15.6" x14ac:dyDescent="0.3">
      <c r="A25" s="234"/>
      <c r="B25" s="518"/>
      <c r="C25" s="519"/>
      <c r="D25" s="519"/>
      <c r="E25" s="519"/>
      <c r="F25" s="519"/>
      <c r="G25" s="520"/>
      <c r="H25" s="235"/>
      <c r="I25" s="236"/>
      <c r="J25" s="237"/>
      <c r="K25" s="237"/>
    </row>
    <row r="26" spans="1:11" ht="15.6" x14ac:dyDescent="0.3">
      <c r="A26" s="234"/>
      <c r="B26" s="518"/>
      <c r="C26" s="519"/>
      <c r="D26" s="519"/>
      <c r="E26" s="519"/>
      <c r="F26" s="519"/>
      <c r="G26" s="520"/>
      <c r="H26" s="313"/>
      <c r="I26" s="236"/>
      <c r="J26" s="237"/>
      <c r="K26" s="237"/>
    </row>
    <row r="27" spans="1:11" ht="15.6" x14ac:dyDescent="0.3">
      <c r="A27" s="236">
        <v>2</v>
      </c>
      <c r="B27" s="518" t="s">
        <v>205</v>
      </c>
      <c r="C27" s="519"/>
      <c r="D27" s="519"/>
      <c r="E27" s="519"/>
      <c r="F27" s="519"/>
      <c r="G27" s="520"/>
      <c r="H27" s="523">
        <v>8481</v>
      </c>
      <c r="I27" s="310">
        <v>1</v>
      </c>
      <c r="J27" s="311">
        <v>5900</v>
      </c>
      <c r="K27" s="312">
        <v>5900</v>
      </c>
    </row>
    <row r="28" spans="1:11" ht="15.6" x14ac:dyDescent="0.3">
      <c r="A28" s="234"/>
      <c r="B28" s="518"/>
      <c r="C28" s="519"/>
      <c r="D28" s="519"/>
      <c r="E28" s="519"/>
      <c r="F28" s="519"/>
      <c r="G28" s="520"/>
      <c r="H28" s="524"/>
      <c r="I28" s="236"/>
      <c r="J28" s="237"/>
      <c r="K28" s="237"/>
    </row>
    <row r="29" spans="1:11" ht="15.6" x14ac:dyDescent="0.3">
      <c r="A29" s="234"/>
      <c r="B29" s="518"/>
      <c r="C29" s="519"/>
      <c r="D29" s="519"/>
      <c r="E29" s="519"/>
      <c r="F29" s="519"/>
      <c r="G29" s="520"/>
      <c r="H29" s="235"/>
      <c r="I29" s="236"/>
      <c r="J29" s="237"/>
      <c r="K29" s="237"/>
    </row>
    <row r="30" spans="1:11" ht="14.4" customHeight="1" x14ac:dyDescent="0.3">
      <c r="A30" s="238"/>
      <c r="B30" s="518"/>
      <c r="C30" s="519"/>
      <c r="D30" s="519"/>
      <c r="E30" s="519"/>
      <c r="F30" s="519"/>
      <c r="G30" s="520"/>
      <c r="H30" s="239"/>
      <c r="I30" s="237"/>
      <c r="J30" s="237"/>
      <c r="K30" s="237"/>
    </row>
    <row r="31" spans="1:11" ht="14.4" customHeight="1" x14ac:dyDescent="0.3">
      <c r="A31" s="238"/>
      <c r="B31" s="307"/>
      <c r="C31" s="308"/>
      <c r="D31" s="308"/>
      <c r="E31" s="308"/>
      <c r="F31" s="308"/>
      <c r="G31" s="309"/>
      <c r="H31" s="239"/>
      <c r="I31" s="237"/>
      <c r="J31" s="237"/>
      <c r="K31" s="237"/>
    </row>
    <row r="32" spans="1:11" ht="14.4" customHeight="1" x14ac:dyDescent="0.3">
      <c r="A32" s="238"/>
      <c r="B32" s="307"/>
      <c r="C32" s="308"/>
      <c r="D32" s="308"/>
      <c r="E32" s="308"/>
      <c r="F32" s="308"/>
      <c r="G32" s="309"/>
      <c r="H32" s="239"/>
      <c r="I32" s="237"/>
      <c r="J32" s="237"/>
      <c r="K32" s="237"/>
    </row>
    <row r="33" spans="1:11" ht="14.4" customHeight="1" x14ac:dyDescent="0.3">
      <c r="A33" s="136"/>
      <c r="B33" s="307"/>
      <c r="C33" s="308"/>
      <c r="D33" s="308"/>
      <c r="E33" s="308"/>
      <c r="F33" s="308"/>
      <c r="G33" s="309"/>
      <c r="H33" s="216"/>
      <c r="I33" s="212"/>
      <c r="J33" s="212"/>
      <c r="K33" s="212"/>
    </row>
    <row r="34" spans="1:11" x14ac:dyDescent="0.3">
      <c r="A34" s="136"/>
      <c r="B34" s="213"/>
      <c r="C34" s="214"/>
      <c r="D34" s="214"/>
      <c r="E34" s="214"/>
      <c r="F34" s="214"/>
      <c r="G34" s="215"/>
      <c r="H34" s="216"/>
      <c r="I34" s="212"/>
      <c r="J34" s="212"/>
      <c r="K34" s="212"/>
    </row>
    <row r="35" spans="1:11" x14ac:dyDescent="0.3">
      <c r="A35" s="136"/>
      <c r="B35" s="213"/>
      <c r="C35" s="214"/>
      <c r="D35" s="214"/>
      <c r="E35" s="214"/>
      <c r="F35" s="214"/>
      <c r="G35" s="215"/>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477" t="s">
        <v>206</v>
      </c>
      <c r="D38" s="477"/>
      <c r="E38" s="477"/>
      <c r="F38" s="477"/>
      <c r="G38" s="478"/>
      <c r="H38" s="406" t="s">
        <v>31</v>
      </c>
      <c r="I38" s="407"/>
      <c r="J38" s="501">
        <f xml:space="preserve"> +SUM(K22+K27)</f>
        <v>30900</v>
      </c>
      <c r="K38" s="502"/>
    </row>
    <row r="39" spans="1:11" x14ac:dyDescent="0.3">
      <c r="A39" s="11"/>
      <c r="B39" s="100"/>
      <c r="C39" s="479"/>
      <c r="D39" s="479"/>
      <c r="E39" s="479"/>
      <c r="F39" s="479"/>
      <c r="G39" s="480"/>
      <c r="H39" s="50" t="s">
        <v>32</v>
      </c>
      <c r="I39" s="38">
        <v>0.09</v>
      </c>
      <c r="J39" s="501">
        <v>2781</v>
      </c>
      <c r="K39" s="502"/>
    </row>
    <row r="40" spans="1:11" x14ac:dyDescent="0.3">
      <c r="A40" s="11"/>
      <c r="B40" s="100"/>
      <c r="C40" s="240"/>
      <c r="D40" s="240"/>
      <c r="E40" s="240"/>
      <c r="F40" s="240"/>
      <c r="G40" s="241"/>
      <c r="H40" s="50" t="s">
        <v>33</v>
      </c>
      <c r="I40" s="38">
        <v>0.09</v>
      </c>
      <c r="J40" s="501">
        <v>2781</v>
      </c>
      <c r="K40" s="502"/>
    </row>
    <row r="41" spans="1:11" x14ac:dyDescent="0.3">
      <c r="A41" s="5"/>
      <c r="B41" s="2"/>
      <c r="C41" s="218"/>
      <c r="D41" s="218"/>
      <c r="E41" s="218"/>
      <c r="F41" s="218"/>
      <c r="G41" s="223"/>
      <c r="H41" s="49" t="s">
        <v>34</v>
      </c>
      <c r="I41" s="304"/>
      <c r="J41" s="521">
        <f>+SUM(J38+J39+J40)</f>
        <v>36462</v>
      </c>
      <c r="K41" s="522"/>
    </row>
    <row r="42" spans="1:11" x14ac:dyDescent="0.3">
      <c r="J42" s="221"/>
      <c r="K42" s="221"/>
    </row>
    <row r="43" spans="1:11" x14ac:dyDescent="0.3">
      <c r="J43" s="221"/>
      <c r="K43" s="221"/>
    </row>
    <row r="44" spans="1:11" x14ac:dyDescent="0.3">
      <c r="A44" s="299" t="s">
        <v>36</v>
      </c>
      <c r="B44" s="299"/>
    </row>
    <row r="45" spans="1:11" x14ac:dyDescent="0.3">
      <c r="A45" s="299" t="s">
        <v>37</v>
      </c>
      <c r="B45" s="299"/>
      <c r="C45" t="s">
        <v>41</v>
      </c>
      <c r="I45" s="405"/>
      <c r="J45" s="405"/>
      <c r="K45" s="405"/>
    </row>
    <row r="46" spans="1:11" x14ac:dyDescent="0.3">
      <c r="A46" s="299" t="s">
        <v>38</v>
      </c>
      <c r="B46" s="299"/>
      <c r="C46" s="36" t="s">
        <v>42</v>
      </c>
      <c r="H46" s="119"/>
      <c r="I46" s="405"/>
      <c r="J46" s="405"/>
      <c r="K46" s="405"/>
    </row>
    <row r="47" spans="1:11" x14ac:dyDescent="0.3">
      <c r="A47" s="299" t="s">
        <v>39</v>
      </c>
      <c r="B47" s="299"/>
      <c r="C47" t="s">
        <v>44</v>
      </c>
      <c r="H47" s="119"/>
      <c r="I47" s="405"/>
      <c r="J47" s="405"/>
      <c r="K47" s="405"/>
    </row>
    <row r="48" spans="1:11" x14ac:dyDescent="0.3">
      <c r="A48" s="299" t="s">
        <v>40</v>
      </c>
      <c r="B48" s="299"/>
      <c r="C48" t="s">
        <v>43</v>
      </c>
      <c r="J48" s="54" t="s">
        <v>48</v>
      </c>
    </row>
  </sheetData>
  <mergeCells count="29">
    <mergeCell ref="A1:E10"/>
    <mergeCell ref="G1:K2"/>
    <mergeCell ref="H5:I5"/>
    <mergeCell ref="H6:J6"/>
    <mergeCell ref="H7:I7"/>
    <mergeCell ref="H9:I9"/>
    <mergeCell ref="G10:I11"/>
    <mergeCell ref="A20:A21"/>
    <mergeCell ref="B20:G21"/>
    <mergeCell ref="H20:H21"/>
    <mergeCell ref="I20:I21"/>
    <mergeCell ref="J20:J21"/>
    <mergeCell ref="A12:E12"/>
    <mergeCell ref="G12:K12"/>
    <mergeCell ref="A14:E15"/>
    <mergeCell ref="G14:K15"/>
    <mergeCell ref="G17:H17"/>
    <mergeCell ref="J40:K40"/>
    <mergeCell ref="J41:K41"/>
    <mergeCell ref="I45:K47"/>
    <mergeCell ref="B22:G26"/>
    <mergeCell ref="B27:G30"/>
    <mergeCell ref="H27:H28"/>
    <mergeCell ref="H22:H23"/>
    <mergeCell ref="A38:B38"/>
    <mergeCell ref="C38:G39"/>
    <mergeCell ref="H38:I38"/>
    <mergeCell ref="J38:K38"/>
    <mergeCell ref="J39:K39"/>
  </mergeCells>
  <printOptions horizontalCentered="1" verticalCentered="1"/>
  <pageMargins left="0" right="0" top="0" bottom="0" header="0" footer="0"/>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EF868-CEB8-4209-A36E-175E3BB01158}">
  <sheetPr>
    <pageSetUpPr fitToPage="1"/>
  </sheetPr>
  <dimension ref="A1:K48"/>
  <sheetViews>
    <sheetView showWhiteSpace="0" view="pageBreakPreview" topLeftCell="A15" zoomScale="115" zoomScaleNormal="190" zoomScaleSheetLayoutView="115" zoomScalePageLayoutView="85" workbookViewId="0">
      <selection activeCell="K29" sqref="K29"/>
    </sheetView>
  </sheetViews>
  <sheetFormatPr defaultColWidth="8.6640625" defaultRowHeight="14.4" x14ac:dyDescent="0.3"/>
  <cols>
    <col min="1" max="1" width="8.6640625" customWidth="1"/>
    <col min="4" max="4" width="8.6640625" customWidth="1"/>
    <col min="5" max="5" width="9" customWidth="1"/>
    <col min="6" max="6" width="8.6640625" customWidth="1"/>
    <col min="7" max="7" width="6.44140625" customWidth="1"/>
    <col min="8" max="8" width="6.109375" customWidth="1"/>
    <col min="9" max="9" width="11.77734375" customWidth="1"/>
    <col min="10" max="10" width="11.33203125" customWidth="1"/>
    <col min="11" max="11" width="11.44140625" customWidth="1"/>
    <col min="12" max="12" width="5.44140625" customWidth="1"/>
  </cols>
  <sheetData>
    <row r="1" spans="1:11" ht="14.25" customHeight="1" x14ac:dyDescent="0.3">
      <c r="A1" s="422"/>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219</v>
      </c>
      <c r="H4" s="171"/>
      <c r="I4" s="320"/>
      <c r="J4" s="9"/>
      <c r="K4" s="10"/>
    </row>
    <row r="5" spans="1:11" ht="14.4" customHeight="1" x14ac:dyDescent="0.3">
      <c r="A5" s="422"/>
      <c r="B5" s="422"/>
      <c r="C5" s="422"/>
      <c r="D5" s="422"/>
      <c r="E5" s="422"/>
      <c r="G5" s="49" t="s">
        <v>2</v>
      </c>
      <c r="H5" s="456">
        <v>46329</v>
      </c>
      <c r="I5" s="456"/>
      <c r="J5" s="2"/>
      <c r="K5" s="4"/>
    </row>
    <row r="6" spans="1:11" ht="14.25" customHeight="1" x14ac:dyDescent="0.3">
      <c r="A6" s="422"/>
      <c r="B6" s="422"/>
      <c r="C6" s="422"/>
      <c r="D6" s="422"/>
      <c r="E6" s="422"/>
      <c r="G6" s="315" t="s">
        <v>23</v>
      </c>
      <c r="H6" s="452">
        <v>55265386200465</v>
      </c>
      <c r="I6" s="452"/>
      <c r="J6" s="452"/>
      <c r="K6" s="10"/>
    </row>
    <row r="7" spans="1:11" ht="14.4" customHeight="1" x14ac:dyDescent="0.3">
      <c r="A7" s="422"/>
      <c r="B7" s="422"/>
      <c r="C7" s="422"/>
      <c r="D7" s="422"/>
      <c r="E7" s="422"/>
      <c r="G7" s="49" t="s">
        <v>2</v>
      </c>
      <c r="H7" s="456">
        <v>46268</v>
      </c>
      <c r="I7" s="456"/>
      <c r="J7" s="2"/>
      <c r="K7" s="4"/>
    </row>
    <row r="8" spans="1:11" ht="14.4" customHeight="1" x14ac:dyDescent="0.3">
      <c r="A8" s="422"/>
      <c r="B8" s="422"/>
      <c r="C8" s="422"/>
      <c r="D8" s="422"/>
      <c r="E8" s="422"/>
      <c r="G8" s="315" t="s">
        <v>220</v>
      </c>
      <c r="H8" s="320"/>
      <c r="I8" s="125"/>
      <c r="J8" s="9"/>
      <c r="K8" s="10"/>
    </row>
    <row r="9" spans="1:11" ht="14.4" customHeight="1" x14ac:dyDescent="0.3">
      <c r="A9" s="422"/>
      <c r="B9" s="422"/>
      <c r="C9" s="422"/>
      <c r="D9" s="422"/>
      <c r="E9" s="422"/>
      <c r="G9" s="49" t="s">
        <v>2</v>
      </c>
      <c r="H9" s="456">
        <v>46329</v>
      </c>
      <c r="I9" s="456"/>
      <c r="J9" s="2"/>
      <c r="K9" s="4"/>
    </row>
    <row r="10" spans="1:11" x14ac:dyDescent="0.3">
      <c r="A10" s="422"/>
      <c r="B10" s="422"/>
      <c r="C10" s="422"/>
      <c r="D10" s="422"/>
      <c r="E10" s="422"/>
      <c r="F10" s="100"/>
      <c r="G10" s="128"/>
      <c r="H10" s="129"/>
      <c r="I10" s="129"/>
      <c r="J10" s="129"/>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320"/>
      <c r="D13" s="320"/>
      <c r="E13" s="122"/>
      <c r="G13" s="315"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321"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318"/>
      <c r="D18" s="318"/>
      <c r="E18" s="124"/>
      <c r="G18" s="49" t="s">
        <v>75</v>
      </c>
      <c r="H18" s="2"/>
      <c r="I18" s="318"/>
      <c r="J18" s="2"/>
      <c r="K18" s="4"/>
    </row>
    <row r="20" spans="1:11" x14ac:dyDescent="0.3">
      <c r="A20" s="423" t="s">
        <v>25</v>
      </c>
      <c r="B20" s="467" t="s">
        <v>30</v>
      </c>
      <c r="C20" s="418"/>
      <c r="D20" s="418"/>
      <c r="E20" s="418"/>
      <c r="F20" s="418"/>
      <c r="G20" s="419"/>
      <c r="H20" s="419" t="s">
        <v>29</v>
      </c>
      <c r="I20" s="437" t="s">
        <v>104</v>
      </c>
      <c r="J20" s="499" t="s">
        <v>101</v>
      </c>
      <c r="K20" s="316" t="s">
        <v>26</v>
      </c>
    </row>
    <row r="21" spans="1:11" x14ac:dyDescent="0.3">
      <c r="A21" s="424"/>
      <c r="B21" s="468"/>
      <c r="C21" s="420"/>
      <c r="D21" s="420"/>
      <c r="E21" s="420"/>
      <c r="F21" s="420"/>
      <c r="G21" s="421"/>
      <c r="H21" s="421"/>
      <c r="I21" s="449"/>
      <c r="J21" s="500"/>
      <c r="K21" s="317"/>
    </row>
    <row r="22" spans="1:11" ht="14.4" customHeight="1" x14ac:dyDescent="0.3">
      <c r="A22" s="232">
        <v>1</v>
      </c>
      <c r="B22" s="515" t="s">
        <v>231</v>
      </c>
      <c r="C22" s="516"/>
      <c r="D22" s="516"/>
      <c r="E22" s="516"/>
      <c r="F22" s="516"/>
      <c r="G22" s="517"/>
      <c r="H22" s="523">
        <v>7616</v>
      </c>
      <c r="I22" s="232">
        <v>500</v>
      </c>
      <c r="J22" s="160">
        <v>180</v>
      </c>
      <c r="K22" s="168">
        <f>SUM(J22*I22)</f>
        <v>90000</v>
      </c>
    </row>
    <row r="23" spans="1:11" ht="15.6" x14ac:dyDescent="0.3">
      <c r="A23" s="234"/>
      <c r="B23" s="518"/>
      <c r="C23" s="519"/>
      <c r="D23" s="519"/>
      <c r="E23" s="519"/>
      <c r="F23" s="519"/>
      <c r="G23" s="520"/>
      <c r="H23" s="524"/>
      <c r="I23" s="236"/>
      <c r="J23" s="237"/>
      <c r="K23" s="237"/>
    </row>
    <row r="24" spans="1:11" ht="15.6" x14ac:dyDescent="0.3">
      <c r="A24" s="234"/>
      <c r="B24" s="518"/>
      <c r="C24" s="519"/>
      <c r="D24" s="519"/>
      <c r="E24" s="519"/>
      <c r="F24" s="519"/>
      <c r="G24" s="520"/>
      <c r="H24" s="235"/>
      <c r="I24" s="236"/>
      <c r="J24" s="237"/>
      <c r="K24" s="237"/>
    </row>
    <row r="25" spans="1:11" ht="15.6" x14ac:dyDescent="0.3">
      <c r="A25" s="234"/>
      <c r="B25" s="518"/>
      <c r="C25" s="519"/>
      <c r="D25" s="519"/>
      <c r="E25" s="519"/>
      <c r="F25" s="519"/>
      <c r="G25" s="520"/>
      <c r="H25" s="235"/>
      <c r="I25" s="236"/>
      <c r="J25" s="237"/>
      <c r="K25" s="237"/>
    </row>
    <row r="26" spans="1:11" ht="15.6" x14ac:dyDescent="0.3">
      <c r="A26" s="234"/>
      <c r="B26" s="518"/>
      <c r="C26" s="519"/>
      <c r="D26" s="519"/>
      <c r="E26" s="519"/>
      <c r="F26" s="519"/>
      <c r="G26" s="520"/>
      <c r="H26" s="235"/>
      <c r="I26" s="236"/>
      <c r="J26" s="237"/>
      <c r="K26" s="237"/>
    </row>
    <row r="27" spans="1:11" ht="15.6" x14ac:dyDescent="0.3">
      <c r="A27" s="234"/>
      <c r="B27" s="518"/>
      <c r="C27" s="519"/>
      <c r="D27" s="519"/>
      <c r="E27" s="519"/>
      <c r="F27" s="519"/>
      <c r="G27" s="520"/>
      <c r="H27" s="235"/>
      <c r="I27" s="236"/>
      <c r="J27" s="237"/>
      <c r="K27" s="237"/>
    </row>
    <row r="28" spans="1:11" ht="15.6" x14ac:dyDescent="0.3">
      <c r="A28" s="234"/>
      <c r="B28" s="307"/>
      <c r="C28" s="308"/>
      <c r="D28" s="308"/>
      <c r="E28" s="308"/>
      <c r="F28" s="308"/>
      <c r="G28" s="309"/>
      <c r="H28" s="235"/>
      <c r="I28" s="236"/>
      <c r="J28" s="237"/>
      <c r="K28" s="237"/>
    </row>
    <row r="29" spans="1:11" ht="15.6" x14ac:dyDescent="0.3">
      <c r="A29" s="234"/>
      <c r="B29" s="307"/>
      <c r="C29" s="308"/>
      <c r="D29" s="308"/>
      <c r="E29" s="308"/>
      <c r="F29" s="308"/>
      <c r="G29" s="309"/>
      <c r="H29" s="235"/>
      <c r="I29" s="236"/>
      <c r="J29" s="237"/>
      <c r="K29" s="237"/>
    </row>
    <row r="30" spans="1:11" ht="14.4" customHeight="1" x14ac:dyDescent="0.3">
      <c r="A30" s="238"/>
      <c r="B30" s="307"/>
      <c r="C30" s="308"/>
      <c r="D30" s="308"/>
      <c r="E30" s="308"/>
      <c r="F30" s="308"/>
      <c r="G30" s="309"/>
      <c r="H30" s="239"/>
      <c r="I30" s="237"/>
      <c r="J30" s="237"/>
      <c r="K30" s="237"/>
    </row>
    <row r="31" spans="1:11" ht="14.4" customHeight="1" x14ac:dyDescent="0.3">
      <c r="A31" s="238"/>
      <c r="B31" s="307"/>
      <c r="C31" s="308"/>
      <c r="D31" s="308"/>
      <c r="E31" s="308"/>
      <c r="F31" s="308"/>
      <c r="G31" s="309"/>
      <c r="H31" s="239"/>
      <c r="I31" s="237"/>
      <c r="J31" s="237"/>
      <c r="K31" s="237"/>
    </row>
    <row r="32" spans="1:11" ht="14.4" customHeight="1" x14ac:dyDescent="0.3">
      <c r="A32" s="238"/>
      <c r="B32" s="307"/>
      <c r="C32" s="308"/>
      <c r="D32" s="308"/>
      <c r="E32" s="308"/>
      <c r="F32" s="308"/>
      <c r="G32" s="309"/>
      <c r="H32" s="239"/>
      <c r="I32" s="237"/>
      <c r="J32" s="237"/>
      <c r="K32" s="237"/>
    </row>
    <row r="33" spans="1:11" ht="14.4" customHeight="1" x14ac:dyDescent="0.3">
      <c r="A33" s="136"/>
      <c r="B33" s="307"/>
      <c r="C33" s="308"/>
      <c r="D33" s="308"/>
      <c r="E33" s="308"/>
      <c r="F33" s="308"/>
      <c r="G33" s="309"/>
      <c r="H33" s="216"/>
      <c r="I33" s="212"/>
      <c r="J33" s="212"/>
      <c r="K33" s="212"/>
    </row>
    <row r="34" spans="1:11" x14ac:dyDescent="0.3">
      <c r="A34" s="136"/>
      <c r="B34" s="213"/>
      <c r="C34" s="214"/>
      <c r="D34" s="214"/>
      <c r="E34" s="214"/>
      <c r="F34" s="214"/>
      <c r="G34" s="215"/>
      <c r="H34" s="216"/>
      <c r="I34" s="212"/>
      <c r="J34" s="212"/>
      <c r="K34" s="212"/>
    </row>
    <row r="35" spans="1:11" x14ac:dyDescent="0.3">
      <c r="A35" s="136"/>
      <c r="B35" s="213"/>
      <c r="C35" s="214"/>
      <c r="D35" s="214"/>
      <c r="E35" s="214"/>
      <c r="F35" s="214"/>
      <c r="G35" s="215"/>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477" t="s">
        <v>211</v>
      </c>
      <c r="D38" s="477"/>
      <c r="E38" s="477"/>
      <c r="F38" s="477"/>
      <c r="G38" s="478"/>
      <c r="H38" s="406" t="s">
        <v>31</v>
      </c>
      <c r="I38" s="407"/>
      <c r="J38" s="501">
        <f xml:space="preserve"> +SUM(K22+0)</f>
        <v>90000</v>
      </c>
      <c r="K38" s="502"/>
    </row>
    <row r="39" spans="1:11" x14ac:dyDescent="0.3">
      <c r="A39" s="11"/>
      <c r="B39" s="100"/>
      <c r="C39" s="479"/>
      <c r="D39" s="479"/>
      <c r="E39" s="479"/>
      <c r="F39" s="479"/>
      <c r="G39" s="480"/>
      <c r="H39" s="50" t="s">
        <v>32</v>
      </c>
      <c r="I39" s="38">
        <v>0.09</v>
      </c>
      <c r="J39" s="501">
        <f>K22 * I39</f>
        <v>8100</v>
      </c>
      <c r="K39" s="502"/>
    </row>
    <row r="40" spans="1:11" x14ac:dyDescent="0.3">
      <c r="A40" s="11"/>
      <c r="B40" s="100"/>
      <c r="C40" s="240"/>
      <c r="D40" s="240"/>
      <c r="E40" s="240"/>
      <c r="F40" s="240"/>
      <c r="G40" s="241"/>
      <c r="H40" s="50" t="s">
        <v>33</v>
      </c>
      <c r="I40" s="38">
        <v>0.09</v>
      </c>
      <c r="J40" s="501">
        <f>K22 * I40</f>
        <v>8100</v>
      </c>
      <c r="K40" s="502"/>
    </row>
    <row r="41" spans="1:11" x14ac:dyDescent="0.3">
      <c r="A41" s="5"/>
      <c r="B41" s="2"/>
      <c r="C41" s="218"/>
      <c r="D41" s="218"/>
      <c r="E41" s="218"/>
      <c r="F41" s="218"/>
      <c r="G41" s="223"/>
      <c r="H41" s="49" t="s">
        <v>34</v>
      </c>
      <c r="I41" s="319"/>
      <c r="J41" s="521">
        <f>+SUM(J38+J39+J40)</f>
        <v>106200</v>
      </c>
      <c r="K41" s="522"/>
    </row>
    <row r="42" spans="1:11" x14ac:dyDescent="0.3">
      <c r="J42" s="221"/>
      <c r="K42" s="221"/>
    </row>
    <row r="43" spans="1:11" x14ac:dyDescent="0.3">
      <c r="J43" s="221"/>
      <c r="K43" s="221"/>
    </row>
    <row r="44" spans="1:11" x14ac:dyDescent="0.3">
      <c r="A44" s="314" t="s">
        <v>36</v>
      </c>
      <c r="B44" s="314"/>
    </row>
    <row r="45" spans="1:11" x14ac:dyDescent="0.3">
      <c r="A45" s="314" t="s">
        <v>37</v>
      </c>
      <c r="B45" s="314"/>
      <c r="C45" t="s">
        <v>41</v>
      </c>
      <c r="I45" s="405"/>
      <c r="J45" s="405"/>
      <c r="K45" s="405"/>
    </row>
    <row r="46" spans="1:11" x14ac:dyDescent="0.3">
      <c r="A46" s="314" t="s">
        <v>38</v>
      </c>
      <c r="B46" s="314"/>
      <c r="C46" s="36" t="s">
        <v>42</v>
      </c>
      <c r="H46" s="119"/>
      <c r="I46" s="405"/>
      <c r="J46" s="405"/>
      <c r="K46" s="405"/>
    </row>
    <row r="47" spans="1:11" x14ac:dyDescent="0.3">
      <c r="A47" s="314" t="s">
        <v>39</v>
      </c>
      <c r="B47" s="314"/>
      <c r="C47" t="s">
        <v>44</v>
      </c>
      <c r="H47" s="119"/>
      <c r="I47" s="405"/>
      <c r="J47" s="405"/>
      <c r="K47" s="405"/>
    </row>
    <row r="48" spans="1:11" x14ac:dyDescent="0.3">
      <c r="A48" s="314" t="s">
        <v>40</v>
      </c>
      <c r="B48" s="314"/>
      <c r="C48" t="s">
        <v>43</v>
      </c>
      <c r="J48" s="54" t="s">
        <v>48</v>
      </c>
    </row>
  </sheetData>
  <mergeCells count="26">
    <mergeCell ref="A1:E10"/>
    <mergeCell ref="G1:K2"/>
    <mergeCell ref="H5:I5"/>
    <mergeCell ref="H6:J6"/>
    <mergeCell ref="H7:I7"/>
    <mergeCell ref="H9:I9"/>
    <mergeCell ref="A20:A21"/>
    <mergeCell ref="B20:G21"/>
    <mergeCell ref="H20:H21"/>
    <mergeCell ref="I20:I21"/>
    <mergeCell ref="J20:J21"/>
    <mergeCell ref="A12:E12"/>
    <mergeCell ref="G12:K12"/>
    <mergeCell ref="A14:E15"/>
    <mergeCell ref="G14:K15"/>
    <mergeCell ref="G17:H17"/>
    <mergeCell ref="J40:K40"/>
    <mergeCell ref="J41:K41"/>
    <mergeCell ref="I45:K47"/>
    <mergeCell ref="B22:G27"/>
    <mergeCell ref="H22:H23"/>
    <mergeCell ref="A38:B38"/>
    <mergeCell ref="C38:G39"/>
    <mergeCell ref="H38:I38"/>
    <mergeCell ref="J38:K38"/>
    <mergeCell ref="J39:K39"/>
  </mergeCells>
  <printOptions horizontalCentered="1" verticalCentered="1"/>
  <pageMargins left="0" right="0" top="0" bottom="0" header="0" footer="0"/>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1F542-554F-4380-BA88-9AB189BCB9DE}">
  <sheetPr>
    <pageSetUpPr fitToPage="1"/>
  </sheetPr>
  <dimension ref="A1:K48"/>
  <sheetViews>
    <sheetView showWhiteSpace="0" view="pageBreakPreview" topLeftCell="A10" zoomScale="115" zoomScaleNormal="190" zoomScaleSheetLayoutView="115" zoomScalePageLayoutView="85" workbookViewId="0">
      <selection activeCell="H6" sqref="H6:J6"/>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11.77734375" customWidth="1"/>
    <col min="10" max="10" width="11.33203125" customWidth="1"/>
    <col min="11" max="11" width="11.44140625" customWidth="1"/>
    <col min="12" max="12" width="5.44140625" customWidth="1"/>
  </cols>
  <sheetData>
    <row r="1" spans="1:11" ht="14.25" customHeight="1" x14ac:dyDescent="0.3">
      <c r="A1" s="422"/>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209</v>
      </c>
      <c r="H4" s="171"/>
      <c r="I4" s="328"/>
      <c r="J4" s="9"/>
      <c r="K4" s="10"/>
    </row>
    <row r="5" spans="1:11" ht="14.4" customHeight="1" x14ac:dyDescent="0.3">
      <c r="A5" s="422"/>
      <c r="B5" s="422"/>
      <c r="C5" s="422"/>
      <c r="D5" s="422"/>
      <c r="E5" s="422"/>
      <c r="G5" s="49" t="s">
        <v>2</v>
      </c>
      <c r="H5" s="456">
        <v>46174</v>
      </c>
      <c r="I5" s="456"/>
      <c r="J5" s="2"/>
      <c r="K5" s="4"/>
    </row>
    <row r="6" spans="1:11" ht="14.25" customHeight="1" x14ac:dyDescent="0.3">
      <c r="A6" s="422"/>
      <c r="B6" s="422"/>
      <c r="C6" s="422"/>
      <c r="D6" s="422"/>
      <c r="E6" s="422"/>
      <c r="G6" s="323" t="s">
        <v>23</v>
      </c>
      <c r="H6" s="452">
        <v>55256279101580</v>
      </c>
      <c r="I6" s="452"/>
      <c r="J6" s="452"/>
      <c r="K6" s="10"/>
    </row>
    <row r="7" spans="1:11" ht="14.4" customHeight="1" x14ac:dyDescent="0.3">
      <c r="A7" s="422"/>
      <c r="B7" s="422"/>
      <c r="C7" s="422"/>
      <c r="D7" s="422"/>
      <c r="E7" s="422"/>
      <c r="G7" s="49" t="s">
        <v>2</v>
      </c>
      <c r="H7" s="456" t="s">
        <v>202</v>
      </c>
      <c r="I7" s="456"/>
      <c r="J7" s="2"/>
      <c r="K7" s="4"/>
    </row>
    <row r="8" spans="1:11" ht="14.4" customHeight="1" x14ac:dyDescent="0.3">
      <c r="A8" s="422"/>
      <c r="B8" s="422"/>
      <c r="C8" s="422"/>
      <c r="D8" s="422"/>
      <c r="E8" s="422"/>
      <c r="G8" s="323" t="s">
        <v>210</v>
      </c>
      <c r="H8" s="328"/>
      <c r="I8" s="125"/>
      <c r="J8" s="9"/>
      <c r="K8" s="10"/>
    </row>
    <row r="9" spans="1:11" ht="14.4" customHeight="1" x14ac:dyDescent="0.3">
      <c r="A9" s="422"/>
      <c r="B9" s="422"/>
      <c r="C9" s="422"/>
      <c r="D9" s="422"/>
      <c r="E9" s="422"/>
      <c r="G9" s="49" t="s">
        <v>2</v>
      </c>
      <c r="H9" s="456">
        <v>46174</v>
      </c>
      <c r="I9" s="456"/>
      <c r="J9" s="2"/>
      <c r="K9" s="4"/>
    </row>
    <row r="10" spans="1:11" x14ac:dyDescent="0.3">
      <c r="A10" s="422"/>
      <c r="B10" s="422"/>
      <c r="C10" s="422"/>
      <c r="D10" s="422"/>
      <c r="E10" s="422"/>
      <c r="F10" s="100"/>
      <c r="G10" s="128" t="s">
        <v>217</v>
      </c>
      <c r="H10" s="129"/>
      <c r="I10" s="129"/>
      <c r="J10" s="129" t="s">
        <v>218</v>
      </c>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328"/>
      <c r="D13" s="328"/>
      <c r="E13" s="122"/>
      <c r="G13" s="323"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329"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326"/>
      <c r="D18" s="326"/>
      <c r="E18" s="124"/>
      <c r="G18" s="49" t="s">
        <v>75</v>
      </c>
      <c r="H18" s="2"/>
      <c r="I18" s="326"/>
      <c r="J18" s="2"/>
      <c r="K18" s="4"/>
    </row>
    <row r="20" spans="1:11" x14ac:dyDescent="0.3">
      <c r="A20" s="423" t="s">
        <v>25</v>
      </c>
      <c r="B20" s="467" t="s">
        <v>30</v>
      </c>
      <c r="C20" s="418"/>
      <c r="D20" s="418"/>
      <c r="E20" s="418"/>
      <c r="F20" s="418"/>
      <c r="G20" s="419"/>
      <c r="H20" s="419" t="s">
        <v>29</v>
      </c>
      <c r="I20" s="437" t="s">
        <v>104</v>
      </c>
      <c r="J20" s="499" t="s">
        <v>101</v>
      </c>
      <c r="K20" s="324" t="s">
        <v>26</v>
      </c>
    </row>
    <row r="21" spans="1:11" x14ac:dyDescent="0.3">
      <c r="A21" s="424"/>
      <c r="B21" s="468"/>
      <c r="C21" s="420"/>
      <c r="D21" s="420"/>
      <c r="E21" s="420"/>
      <c r="F21" s="420"/>
      <c r="G21" s="421"/>
      <c r="H21" s="421"/>
      <c r="I21" s="449"/>
      <c r="J21" s="500"/>
      <c r="K21" s="325"/>
    </row>
    <row r="22" spans="1:11" ht="14.4" customHeight="1" x14ac:dyDescent="0.3">
      <c r="A22" s="232">
        <v>1</v>
      </c>
      <c r="B22" s="515" t="s">
        <v>230</v>
      </c>
      <c r="C22" s="516"/>
      <c r="D22" s="516"/>
      <c r="E22" s="516"/>
      <c r="F22" s="516"/>
      <c r="G22" s="517"/>
      <c r="H22" s="523">
        <v>7616</v>
      </c>
      <c r="I22" s="232">
        <v>500</v>
      </c>
      <c r="J22" s="160">
        <v>180</v>
      </c>
      <c r="K22" s="168">
        <f>SUM(J22*I22)</f>
        <v>90000</v>
      </c>
    </row>
    <row r="23" spans="1:11" ht="15.6" x14ac:dyDescent="0.3">
      <c r="A23" s="234"/>
      <c r="B23" s="518"/>
      <c r="C23" s="519"/>
      <c r="D23" s="519"/>
      <c r="E23" s="519"/>
      <c r="F23" s="519"/>
      <c r="G23" s="520"/>
      <c r="H23" s="524"/>
      <c r="I23" s="236"/>
      <c r="J23" s="237"/>
      <c r="K23" s="237"/>
    </row>
    <row r="24" spans="1:11" ht="15.6" x14ac:dyDescent="0.3">
      <c r="A24" s="234"/>
      <c r="B24" s="518"/>
      <c r="C24" s="519"/>
      <c r="D24" s="519"/>
      <c r="E24" s="519"/>
      <c r="F24" s="519"/>
      <c r="G24" s="520"/>
      <c r="H24" s="235"/>
      <c r="I24" s="236"/>
      <c r="J24" s="237"/>
      <c r="K24" s="237"/>
    </row>
    <row r="25" spans="1:11" ht="15.6" x14ac:dyDescent="0.3">
      <c r="A25" s="234"/>
      <c r="B25" s="518"/>
      <c r="C25" s="519"/>
      <c r="D25" s="519"/>
      <c r="E25" s="519"/>
      <c r="F25" s="519"/>
      <c r="G25" s="520"/>
      <c r="H25" s="235"/>
      <c r="I25" s="236"/>
      <c r="J25" s="237"/>
      <c r="K25" s="237"/>
    </row>
    <row r="26" spans="1:11" ht="15.6" x14ac:dyDescent="0.3">
      <c r="A26" s="234"/>
      <c r="B26" s="518"/>
      <c r="C26" s="519"/>
      <c r="D26" s="519"/>
      <c r="E26" s="519"/>
      <c r="F26" s="519"/>
      <c r="G26" s="520"/>
      <c r="H26" s="235"/>
      <c r="I26" s="236"/>
      <c r="J26" s="237"/>
      <c r="K26" s="237"/>
    </row>
    <row r="27" spans="1:11" ht="15.6" x14ac:dyDescent="0.3">
      <c r="A27" s="234"/>
      <c r="B27" s="518"/>
      <c r="C27" s="519"/>
      <c r="D27" s="519"/>
      <c r="E27" s="519"/>
      <c r="F27" s="519"/>
      <c r="G27" s="520"/>
      <c r="H27" s="235"/>
      <c r="I27" s="236"/>
      <c r="J27" s="237"/>
      <c r="K27" s="237"/>
    </row>
    <row r="28" spans="1:11" ht="15.6" x14ac:dyDescent="0.3">
      <c r="A28" s="234"/>
      <c r="B28" s="307"/>
      <c r="C28" s="308"/>
      <c r="D28" s="308"/>
      <c r="E28" s="308"/>
      <c r="F28" s="308"/>
      <c r="G28" s="309"/>
      <c r="H28" s="235"/>
      <c r="I28" s="236"/>
      <c r="J28" s="237"/>
      <c r="K28" s="237"/>
    </row>
    <row r="29" spans="1:11" ht="15.6" x14ac:dyDescent="0.3">
      <c r="A29" s="234"/>
      <c r="B29" s="307"/>
      <c r="C29" s="308"/>
      <c r="D29" s="308"/>
      <c r="E29" s="308"/>
      <c r="F29" s="308"/>
      <c r="G29" s="309"/>
      <c r="H29" s="235"/>
      <c r="I29" s="236"/>
      <c r="J29" s="237"/>
      <c r="K29" s="237"/>
    </row>
    <row r="30" spans="1:11" ht="14.4" customHeight="1" x14ac:dyDescent="0.3">
      <c r="A30" s="238"/>
      <c r="B30" s="307"/>
      <c r="C30" s="308"/>
      <c r="D30" s="308"/>
      <c r="E30" s="308"/>
      <c r="F30" s="308"/>
      <c r="G30" s="309"/>
      <c r="H30" s="239"/>
      <c r="I30" s="237"/>
      <c r="J30" s="237"/>
      <c r="K30" s="237"/>
    </row>
    <row r="31" spans="1:11" ht="14.4" customHeight="1" x14ac:dyDescent="0.3">
      <c r="A31" s="238"/>
      <c r="B31" s="307"/>
      <c r="C31" s="308"/>
      <c r="D31" s="308"/>
      <c r="E31" s="308"/>
      <c r="F31" s="308"/>
      <c r="G31" s="309"/>
      <c r="H31" s="239"/>
      <c r="I31" s="237"/>
      <c r="J31" s="237"/>
      <c r="K31" s="237"/>
    </row>
    <row r="32" spans="1:11" ht="14.4" customHeight="1" x14ac:dyDescent="0.3">
      <c r="A32" s="238"/>
      <c r="B32" s="307"/>
      <c r="C32" s="308"/>
      <c r="D32" s="308"/>
      <c r="E32" s="308"/>
      <c r="F32" s="308"/>
      <c r="G32" s="309"/>
      <c r="H32" s="239"/>
      <c r="I32" s="237"/>
      <c r="J32" s="237"/>
      <c r="K32" s="237"/>
    </row>
    <row r="33" spans="1:11" ht="14.4" customHeight="1" x14ac:dyDescent="0.3">
      <c r="A33" s="136"/>
      <c r="B33" s="307"/>
      <c r="C33" s="308"/>
      <c r="D33" s="308"/>
      <c r="E33" s="308"/>
      <c r="F33" s="308"/>
      <c r="G33" s="309"/>
      <c r="H33" s="216"/>
      <c r="I33" s="212"/>
      <c r="J33" s="212"/>
      <c r="K33" s="212"/>
    </row>
    <row r="34" spans="1:11" x14ac:dyDescent="0.3">
      <c r="A34" s="136"/>
      <c r="B34" s="213"/>
      <c r="C34" s="214"/>
      <c r="D34" s="214"/>
      <c r="E34" s="214"/>
      <c r="F34" s="214"/>
      <c r="G34" s="215"/>
      <c r="H34" s="216"/>
      <c r="I34" s="212"/>
      <c r="J34" s="212"/>
      <c r="K34" s="212"/>
    </row>
    <row r="35" spans="1:11" x14ac:dyDescent="0.3">
      <c r="A35" s="136"/>
      <c r="B35" s="213"/>
      <c r="C35" s="214"/>
      <c r="D35" s="214"/>
      <c r="E35" s="214"/>
      <c r="F35" s="214"/>
      <c r="G35" s="215"/>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477" t="s">
        <v>211</v>
      </c>
      <c r="D38" s="477"/>
      <c r="E38" s="477"/>
      <c r="F38" s="477"/>
      <c r="G38" s="478"/>
      <c r="H38" s="406" t="s">
        <v>31</v>
      </c>
      <c r="I38" s="407"/>
      <c r="J38" s="501">
        <f xml:space="preserve"> +SUM(K22+0)</f>
        <v>90000</v>
      </c>
      <c r="K38" s="502"/>
    </row>
    <row r="39" spans="1:11" x14ac:dyDescent="0.3">
      <c r="A39" s="11"/>
      <c r="B39" s="100"/>
      <c r="C39" s="479"/>
      <c r="D39" s="479"/>
      <c r="E39" s="479"/>
      <c r="F39" s="479"/>
      <c r="G39" s="480"/>
      <c r="H39" s="50" t="s">
        <v>32</v>
      </c>
      <c r="I39" s="38">
        <v>0.09</v>
      </c>
      <c r="J39" s="501">
        <f>K22 * I39</f>
        <v>8100</v>
      </c>
      <c r="K39" s="502"/>
    </row>
    <row r="40" spans="1:11" x14ac:dyDescent="0.3">
      <c r="A40" s="11"/>
      <c r="B40" s="100"/>
      <c r="C40" s="240"/>
      <c r="D40" s="240"/>
      <c r="E40" s="240"/>
      <c r="F40" s="240"/>
      <c r="G40" s="241"/>
      <c r="H40" s="50" t="s">
        <v>33</v>
      </c>
      <c r="I40" s="38">
        <v>0.09</v>
      </c>
      <c r="J40" s="501">
        <f>K22 * I40</f>
        <v>8100</v>
      </c>
      <c r="K40" s="502"/>
    </row>
    <row r="41" spans="1:11" x14ac:dyDescent="0.3">
      <c r="A41" s="5"/>
      <c r="B41" s="2"/>
      <c r="C41" s="218"/>
      <c r="D41" s="218"/>
      <c r="E41" s="218"/>
      <c r="F41" s="218"/>
      <c r="G41" s="223"/>
      <c r="H41" s="49" t="s">
        <v>34</v>
      </c>
      <c r="I41" s="327"/>
      <c r="J41" s="521">
        <f>+SUM(J38+J39+J40)</f>
        <v>106200</v>
      </c>
      <c r="K41" s="522"/>
    </row>
    <row r="42" spans="1:11" x14ac:dyDescent="0.3">
      <c r="J42" s="221"/>
      <c r="K42" s="221"/>
    </row>
    <row r="43" spans="1:11" x14ac:dyDescent="0.3">
      <c r="J43" s="221"/>
      <c r="K43" s="221"/>
    </row>
    <row r="44" spans="1:11" x14ac:dyDescent="0.3">
      <c r="A44" s="322" t="s">
        <v>36</v>
      </c>
      <c r="B44" s="322"/>
    </row>
    <row r="45" spans="1:11" x14ac:dyDescent="0.3">
      <c r="A45" s="322" t="s">
        <v>37</v>
      </c>
      <c r="B45" s="322"/>
      <c r="C45" t="s">
        <v>41</v>
      </c>
      <c r="I45" s="405"/>
      <c r="J45" s="405"/>
      <c r="K45" s="405"/>
    </row>
    <row r="46" spans="1:11" x14ac:dyDescent="0.3">
      <c r="A46" s="322" t="s">
        <v>38</v>
      </c>
      <c r="B46" s="322"/>
      <c r="C46" s="36" t="s">
        <v>42</v>
      </c>
      <c r="H46" s="119"/>
      <c r="I46" s="405"/>
      <c r="J46" s="405"/>
      <c r="K46" s="405"/>
    </row>
    <row r="47" spans="1:11" x14ac:dyDescent="0.3">
      <c r="A47" s="322" t="s">
        <v>39</v>
      </c>
      <c r="B47" s="322"/>
      <c r="C47" t="s">
        <v>44</v>
      </c>
      <c r="H47" s="119"/>
      <c r="I47" s="405"/>
      <c r="J47" s="405"/>
      <c r="K47" s="405"/>
    </row>
    <row r="48" spans="1:11" x14ac:dyDescent="0.3">
      <c r="A48" s="322" t="s">
        <v>40</v>
      </c>
      <c r="B48" s="322"/>
      <c r="C48" t="s">
        <v>43</v>
      </c>
      <c r="J48" s="54" t="s">
        <v>48</v>
      </c>
    </row>
  </sheetData>
  <mergeCells count="26">
    <mergeCell ref="A1:E10"/>
    <mergeCell ref="G1:K2"/>
    <mergeCell ref="H5:I5"/>
    <mergeCell ref="H6:J6"/>
    <mergeCell ref="H7:I7"/>
    <mergeCell ref="H9:I9"/>
    <mergeCell ref="A20:A21"/>
    <mergeCell ref="B20:G21"/>
    <mergeCell ref="H20:H21"/>
    <mergeCell ref="I20:I21"/>
    <mergeCell ref="J20:J21"/>
    <mergeCell ref="A12:E12"/>
    <mergeCell ref="G12:K12"/>
    <mergeCell ref="A14:E15"/>
    <mergeCell ref="G14:K15"/>
    <mergeCell ref="G17:H17"/>
    <mergeCell ref="J40:K40"/>
    <mergeCell ref="J41:K41"/>
    <mergeCell ref="I45:K47"/>
    <mergeCell ref="B22:G27"/>
    <mergeCell ref="H22:H23"/>
    <mergeCell ref="A38:B38"/>
    <mergeCell ref="C38:G39"/>
    <mergeCell ref="H38:I38"/>
    <mergeCell ref="J38:K38"/>
    <mergeCell ref="J39:K39"/>
  </mergeCells>
  <printOptions horizontalCentered="1" verticalCentered="1"/>
  <pageMargins left="0" right="0" top="0" bottom="0" header="0" footer="0"/>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71C75-27F3-467E-B3C5-C57E89B4B6E6}">
  <sheetPr>
    <pageSetUpPr fitToPage="1"/>
  </sheetPr>
  <dimension ref="A1:K48"/>
  <sheetViews>
    <sheetView showWhiteSpace="0" view="pageBreakPreview" topLeftCell="A4" zoomScale="115" zoomScaleNormal="190" zoomScaleSheetLayoutView="115" zoomScalePageLayoutView="85" workbookViewId="0">
      <selection activeCell="I17" sqref="I17"/>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11.77734375" customWidth="1"/>
    <col min="10" max="10" width="11.33203125" customWidth="1"/>
    <col min="11" max="11" width="11.44140625" customWidth="1"/>
    <col min="12" max="12" width="5.44140625" customWidth="1"/>
  </cols>
  <sheetData>
    <row r="1" spans="1:11" ht="14.25" customHeight="1" x14ac:dyDescent="0.3">
      <c r="A1" s="422"/>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221</v>
      </c>
      <c r="H4" s="171"/>
      <c r="I4" s="337"/>
      <c r="J4" s="9"/>
      <c r="K4" s="10"/>
    </row>
    <row r="5" spans="1:11" ht="14.4" customHeight="1" x14ac:dyDescent="0.3">
      <c r="A5" s="422"/>
      <c r="B5" s="422"/>
      <c r="C5" s="422"/>
      <c r="D5" s="422"/>
      <c r="E5" s="422"/>
      <c r="G5" s="49" t="s">
        <v>2</v>
      </c>
      <c r="H5" s="338" t="s">
        <v>222</v>
      </c>
      <c r="I5" s="338"/>
      <c r="J5" s="2"/>
      <c r="K5" s="4"/>
    </row>
    <row r="6" spans="1:11" ht="14.25" customHeight="1" x14ac:dyDescent="0.3">
      <c r="A6" s="422"/>
      <c r="B6" s="422"/>
      <c r="C6" s="422"/>
      <c r="D6" s="422"/>
      <c r="E6" s="422"/>
      <c r="G6" s="332" t="s">
        <v>23</v>
      </c>
      <c r="H6" s="452">
        <v>55245527100043</v>
      </c>
      <c r="I6" s="452"/>
      <c r="J6" s="452"/>
      <c r="K6" s="10"/>
    </row>
    <row r="7" spans="1:11" ht="14.4" customHeight="1" x14ac:dyDescent="0.3">
      <c r="A7" s="422"/>
      <c r="B7" s="422"/>
      <c r="C7" s="422"/>
      <c r="D7" s="422"/>
      <c r="E7" s="422"/>
      <c r="G7" s="49" t="s">
        <v>2</v>
      </c>
      <c r="H7" s="456">
        <v>46235</v>
      </c>
      <c r="I7" s="456"/>
      <c r="J7" s="2"/>
      <c r="K7" s="4"/>
    </row>
    <row r="8" spans="1:11" ht="14.4" customHeight="1" x14ac:dyDescent="0.3">
      <c r="A8" s="422"/>
      <c r="B8" s="422"/>
      <c r="C8" s="422"/>
      <c r="D8" s="422"/>
      <c r="E8" s="422"/>
      <c r="G8" s="332" t="s">
        <v>246</v>
      </c>
      <c r="H8" s="337"/>
      <c r="I8" s="125"/>
      <c r="J8" s="9"/>
      <c r="K8" s="10"/>
    </row>
    <row r="9" spans="1:11" ht="14.4" customHeight="1" x14ac:dyDescent="0.3">
      <c r="A9" s="422"/>
      <c r="B9" s="422"/>
      <c r="C9" s="422"/>
      <c r="D9" s="422"/>
      <c r="E9" s="422"/>
      <c r="G9" s="49" t="s">
        <v>2</v>
      </c>
      <c r="H9" s="338" t="s">
        <v>222</v>
      </c>
      <c r="I9" s="338"/>
      <c r="J9" s="2"/>
      <c r="K9" s="4"/>
    </row>
    <row r="10" spans="1:11" x14ac:dyDescent="0.3">
      <c r="A10" s="422"/>
      <c r="B10" s="422"/>
      <c r="C10" s="422"/>
      <c r="D10" s="422"/>
      <c r="E10" s="422"/>
      <c r="F10" s="100"/>
      <c r="G10" s="128" t="s">
        <v>245</v>
      </c>
      <c r="H10" s="129"/>
      <c r="I10" s="129"/>
      <c r="J10" s="129" t="s">
        <v>244</v>
      </c>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337"/>
      <c r="D13" s="337"/>
      <c r="E13" s="122"/>
      <c r="G13" s="332"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339"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335"/>
      <c r="D18" s="335"/>
      <c r="E18" s="124"/>
      <c r="G18" s="49" t="s">
        <v>75</v>
      </c>
      <c r="H18" s="2"/>
      <c r="I18" s="335"/>
      <c r="J18" s="2"/>
      <c r="K18" s="4"/>
    </row>
    <row r="20" spans="1:11" x14ac:dyDescent="0.3">
      <c r="A20" s="423" t="s">
        <v>25</v>
      </c>
      <c r="B20" s="467" t="s">
        <v>30</v>
      </c>
      <c r="C20" s="418"/>
      <c r="D20" s="418"/>
      <c r="E20" s="418"/>
      <c r="F20" s="418"/>
      <c r="G20" s="419"/>
      <c r="H20" s="419" t="s">
        <v>29</v>
      </c>
      <c r="I20" s="437" t="s">
        <v>104</v>
      </c>
      <c r="J20" s="499" t="s">
        <v>101</v>
      </c>
      <c r="K20" s="333" t="s">
        <v>26</v>
      </c>
    </row>
    <row r="21" spans="1:11" x14ac:dyDescent="0.3">
      <c r="A21" s="424"/>
      <c r="B21" s="468"/>
      <c r="C21" s="420"/>
      <c r="D21" s="420"/>
      <c r="E21" s="420"/>
      <c r="F21" s="420"/>
      <c r="G21" s="421"/>
      <c r="H21" s="421"/>
      <c r="I21" s="449"/>
      <c r="J21" s="500"/>
      <c r="K21" s="334"/>
    </row>
    <row r="22" spans="1:11" ht="14.4" customHeight="1" x14ac:dyDescent="0.3">
      <c r="A22" s="232">
        <v>1</v>
      </c>
      <c r="B22" s="515" t="s">
        <v>223</v>
      </c>
      <c r="C22" s="516"/>
      <c r="D22" s="516"/>
      <c r="E22" s="516"/>
      <c r="F22" s="516"/>
      <c r="G22" s="517"/>
      <c r="H22" s="523">
        <v>7318</v>
      </c>
      <c r="I22" s="232">
        <v>1000</v>
      </c>
      <c r="J22" s="160">
        <v>19.75</v>
      </c>
      <c r="K22" s="168">
        <f>SUM(J22*I22)</f>
        <v>19750</v>
      </c>
    </row>
    <row r="23" spans="1:11" ht="15.6" x14ac:dyDescent="0.3">
      <c r="A23" s="234"/>
      <c r="B23" s="518"/>
      <c r="C23" s="519"/>
      <c r="D23" s="519"/>
      <c r="E23" s="519"/>
      <c r="F23" s="519"/>
      <c r="G23" s="520"/>
      <c r="H23" s="524"/>
      <c r="I23" s="236"/>
      <c r="J23" s="237"/>
      <c r="K23" s="237"/>
    </row>
    <row r="24" spans="1:11" ht="15.6" x14ac:dyDescent="0.3">
      <c r="A24" s="234"/>
      <c r="B24" s="518"/>
      <c r="C24" s="519"/>
      <c r="D24" s="519"/>
      <c r="E24" s="519"/>
      <c r="F24" s="519"/>
      <c r="G24" s="520"/>
      <c r="H24" s="235"/>
      <c r="I24" s="236"/>
      <c r="J24" s="237"/>
      <c r="K24" s="237"/>
    </row>
    <row r="25" spans="1:11" ht="15.6" x14ac:dyDescent="0.3">
      <c r="A25" s="234"/>
      <c r="B25" s="518"/>
      <c r="C25" s="519"/>
      <c r="D25" s="519"/>
      <c r="E25" s="519"/>
      <c r="F25" s="519"/>
      <c r="G25" s="520"/>
      <c r="H25" s="235"/>
      <c r="I25" s="236"/>
      <c r="J25" s="237"/>
      <c r="K25" s="237"/>
    </row>
    <row r="26" spans="1:11" ht="15.6" x14ac:dyDescent="0.3">
      <c r="A26" s="234"/>
      <c r="B26" s="518"/>
      <c r="C26" s="519"/>
      <c r="D26" s="519"/>
      <c r="E26" s="519"/>
      <c r="F26" s="519"/>
      <c r="G26" s="520"/>
      <c r="H26" s="235"/>
      <c r="I26" s="236"/>
      <c r="J26" s="237"/>
      <c r="K26" s="237"/>
    </row>
    <row r="27" spans="1:11" ht="15.6" x14ac:dyDescent="0.3">
      <c r="A27" s="234"/>
      <c r="B27" s="518"/>
      <c r="C27" s="519"/>
      <c r="D27" s="519"/>
      <c r="E27" s="519"/>
      <c r="F27" s="519"/>
      <c r="G27" s="520"/>
      <c r="H27" s="235"/>
      <c r="I27" s="236"/>
      <c r="J27" s="237"/>
      <c r="K27" s="237"/>
    </row>
    <row r="28" spans="1:11" ht="15.6" x14ac:dyDescent="0.3">
      <c r="A28" s="234"/>
      <c r="B28" s="307"/>
      <c r="C28" s="308"/>
      <c r="D28" s="308"/>
      <c r="E28" s="308"/>
      <c r="F28" s="308"/>
      <c r="G28" s="309"/>
      <c r="H28" s="235"/>
      <c r="I28" s="236"/>
      <c r="J28" s="237"/>
      <c r="K28" s="237"/>
    </row>
    <row r="29" spans="1:11" ht="15.6" x14ac:dyDescent="0.3">
      <c r="A29" s="234"/>
      <c r="B29" s="307"/>
      <c r="C29" s="308"/>
      <c r="D29" s="308"/>
      <c r="E29" s="308"/>
      <c r="F29" s="308"/>
      <c r="G29" s="309"/>
      <c r="H29" s="235"/>
      <c r="I29" s="236"/>
      <c r="J29" s="237"/>
      <c r="K29" s="237"/>
    </row>
    <row r="30" spans="1:11" ht="14.4" customHeight="1" x14ac:dyDescent="0.3">
      <c r="A30" s="238"/>
      <c r="B30" s="307"/>
      <c r="C30" s="308"/>
      <c r="D30" s="308"/>
      <c r="E30" s="308"/>
      <c r="F30" s="308"/>
      <c r="G30" s="309"/>
      <c r="H30" s="239"/>
      <c r="I30" s="237"/>
      <c r="J30" s="237"/>
      <c r="K30" s="237"/>
    </row>
    <row r="31" spans="1:11" ht="14.4" customHeight="1" x14ac:dyDescent="0.3">
      <c r="A31" s="238"/>
      <c r="B31" s="307"/>
      <c r="C31" s="308"/>
      <c r="D31" s="308"/>
      <c r="E31" s="308"/>
      <c r="F31" s="308"/>
      <c r="G31" s="309"/>
      <c r="H31" s="239"/>
      <c r="I31" s="237"/>
      <c r="J31" s="237"/>
      <c r="K31" s="237"/>
    </row>
    <row r="32" spans="1:11" ht="14.4" customHeight="1" x14ac:dyDescent="0.3">
      <c r="A32" s="238"/>
      <c r="B32" s="307"/>
      <c r="C32" s="308"/>
      <c r="D32" s="308"/>
      <c r="E32" s="308"/>
      <c r="F32" s="308"/>
      <c r="G32" s="309"/>
      <c r="H32" s="239"/>
      <c r="I32" s="237"/>
      <c r="J32" s="237"/>
      <c r="K32" s="237"/>
    </row>
    <row r="33" spans="1:11" ht="14.4" customHeight="1" x14ac:dyDescent="0.3">
      <c r="A33" s="136"/>
      <c r="B33" s="307"/>
      <c r="C33" s="308"/>
      <c r="D33" s="308"/>
      <c r="E33" s="308"/>
      <c r="F33" s="308"/>
      <c r="G33" s="309"/>
      <c r="H33" s="216"/>
      <c r="I33" s="212"/>
      <c r="J33" s="212"/>
      <c r="K33" s="212"/>
    </row>
    <row r="34" spans="1:11" x14ac:dyDescent="0.3">
      <c r="A34" s="136"/>
      <c r="B34" s="213"/>
      <c r="C34" s="214"/>
      <c r="D34" s="214"/>
      <c r="E34" s="214"/>
      <c r="F34" s="214"/>
      <c r="G34" s="215"/>
      <c r="H34" s="216"/>
      <c r="I34" s="212"/>
      <c r="J34" s="212"/>
      <c r="K34" s="212"/>
    </row>
    <row r="35" spans="1:11" x14ac:dyDescent="0.3">
      <c r="A35" s="136"/>
      <c r="B35" s="213"/>
      <c r="C35" s="214"/>
      <c r="D35" s="214"/>
      <c r="E35" s="214"/>
      <c r="F35" s="214"/>
      <c r="G35" s="215"/>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477" t="s">
        <v>224</v>
      </c>
      <c r="D38" s="477"/>
      <c r="E38" s="477"/>
      <c r="F38" s="477"/>
      <c r="G38" s="478"/>
      <c r="H38" s="406" t="s">
        <v>31</v>
      </c>
      <c r="I38" s="407"/>
      <c r="J38" s="501">
        <f xml:space="preserve"> +SUM(K22+0)</f>
        <v>19750</v>
      </c>
      <c r="K38" s="502"/>
    </row>
    <row r="39" spans="1:11" x14ac:dyDescent="0.3">
      <c r="A39" s="11"/>
      <c r="B39" s="100"/>
      <c r="C39" s="479"/>
      <c r="D39" s="479"/>
      <c r="E39" s="479"/>
      <c r="F39" s="479"/>
      <c r="G39" s="480"/>
      <c r="H39" s="50" t="s">
        <v>32</v>
      </c>
      <c r="I39" s="38">
        <v>0.09</v>
      </c>
      <c r="J39" s="501">
        <f>K22 * I39</f>
        <v>1777.5</v>
      </c>
      <c r="K39" s="502"/>
    </row>
    <row r="40" spans="1:11" x14ac:dyDescent="0.3">
      <c r="A40" s="11"/>
      <c r="B40" s="100"/>
      <c r="C40" s="240"/>
      <c r="D40" s="240"/>
      <c r="E40" s="240"/>
      <c r="F40" s="240"/>
      <c r="G40" s="241"/>
      <c r="H40" s="50" t="s">
        <v>33</v>
      </c>
      <c r="I40" s="38">
        <v>0.09</v>
      </c>
      <c r="J40" s="501">
        <f>K22 * I40</f>
        <v>1777.5</v>
      </c>
      <c r="K40" s="502"/>
    </row>
    <row r="41" spans="1:11" x14ac:dyDescent="0.3">
      <c r="A41" s="5"/>
      <c r="B41" s="2"/>
      <c r="C41" s="218"/>
      <c r="D41" s="218"/>
      <c r="E41" s="218"/>
      <c r="F41" s="218"/>
      <c r="G41" s="223"/>
      <c r="H41" s="49" t="s">
        <v>34</v>
      </c>
      <c r="I41" s="336"/>
      <c r="J41" s="521">
        <f>+SUM(J38+J39+J40)</f>
        <v>23305</v>
      </c>
      <c r="K41" s="522"/>
    </row>
    <row r="42" spans="1:11" x14ac:dyDescent="0.3">
      <c r="J42" s="221"/>
      <c r="K42" s="221"/>
    </row>
    <row r="43" spans="1:11" x14ac:dyDescent="0.3">
      <c r="J43" s="221"/>
      <c r="K43" s="221"/>
    </row>
    <row r="44" spans="1:11" x14ac:dyDescent="0.3">
      <c r="A44" s="331" t="s">
        <v>36</v>
      </c>
      <c r="B44" s="331"/>
    </row>
    <row r="45" spans="1:11" x14ac:dyDescent="0.3">
      <c r="A45" s="331" t="s">
        <v>37</v>
      </c>
      <c r="B45" s="331"/>
      <c r="C45" t="s">
        <v>41</v>
      </c>
      <c r="I45" s="405"/>
      <c r="J45" s="405"/>
      <c r="K45" s="405"/>
    </row>
    <row r="46" spans="1:11" x14ac:dyDescent="0.3">
      <c r="A46" s="331" t="s">
        <v>38</v>
      </c>
      <c r="B46" s="331"/>
      <c r="C46" s="36" t="s">
        <v>42</v>
      </c>
      <c r="H46" s="119"/>
      <c r="I46" s="405"/>
      <c r="J46" s="405"/>
      <c r="K46" s="405"/>
    </row>
    <row r="47" spans="1:11" x14ac:dyDescent="0.3">
      <c r="A47" s="331" t="s">
        <v>39</v>
      </c>
      <c r="B47" s="331"/>
      <c r="C47" t="s">
        <v>44</v>
      </c>
      <c r="H47" s="119"/>
      <c r="I47" s="405"/>
      <c r="J47" s="405"/>
      <c r="K47" s="405"/>
    </row>
    <row r="48" spans="1:11" x14ac:dyDescent="0.3">
      <c r="A48" s="331" t="s">
        <v>40</v>
      </c>
      <c r="B48" s="331"/>
      <c r="C48" t="s">
        <v>43</v>
      </c>
      <c r="J48" s="54" t="s">
        <v>48</v>
      </c>
    </row>
  </sheetData>
  <mergeCells count="24">
    <mergeCell ref="A1:E10"/>
    <mergeCell ref="G1:K2"/>
    <mergeCell ref="H6:J6"/>
    <mergeCell ref="H7:I7"/>
    <mergeCell ref="A20:A21"/>
    <mergeCell ref="B20:G21"/>
    <mergeCell ref="H20:H21"/>
    <mergeCell ref="I20:I21"/>
    <mergeCell ref="J20:J21"/>
    <mergeCell ref="A12:E12"/>
    <mergeCell ref="G12:K12"/>
    <mergeCell ref="A14:E15"/>
    <mergeCell ref="G14:K15"/>
    <mergeCell ref="G17:H17"/>
    <mergeCell ref="J40:K40"/>
    <mergeCell ref="J41:K41"/>
    <mergeCell ref="I45:K47"/>
    <mergeCell ref="B22:G27"/>
    <mergeCell ref="H22:H23"/>
    <mergeCell ref="A38:B38"/>
    <mergeCell ref="C38:G39"/>
    <mergeCell ref="H38:I38"/>
    <mergeCell ref="J38:K38"/>
    <mergeCell ref="J39:K39"/>
  </mergeCells>
  <printOptions horizontalCentered="1" verticalCentered="1"/>
  <pageMargins left="0" right="0" top="0" bottom="0" header="0" footer="0"/>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4CCC0-A4C8-4DE0-A675-F658A748CEC1}">
  <sheetPr>
    <pageSetUpPr fitToPage="1"/>
  </sheetPr>
  <dimension ref="A1:K48"/>
  <sheetViews>
    <sheetView showWhiteSpace="0" view="pageBreakPreview" topLeftCell="A22" zoomScale="115" zoomScaleNormal="190" zoomScaleSheetLayoutView="115" zoomScalePageLayoutView="85" workbookViewId="0">
      <selection activeCell="J41" sqref="J41:K41"/>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11.77734375" customWidth="1"/>
    <col min="10" max="10" width="11.33203125" customWidth="1"/>
    <col min="11" max="11" width="11.44140625" customWidth="1"/>
    <col min="12" max="12" width="5.44140625" customWidth="1"/>
  </cols>
  <sheetData>
    <row r="1" spans="1:11" ht="14.25" customHeight="1" x14ac:dyDescent="0.3">
      <c r="A1" s="422"/>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225</v>
      </c>
      <c r="H4" s="171"/>
      <c r="I4" s="346"/>
      <c r="J4" s="9"/>
      <c r="K4" s="10"/>
    </row>
    <row r="5" spans="1:11" ht="14.4" customHeight="1" x14ac:dyDescent="0.3">
      <c r="A5" s="422"/>
      <c r="B5" s="422"/>
      <c r="C5" s="422"/>
      <c r="D5" s="422"/>
      <c r="E5" s="422"/>
      <c r="G5" s="49" t="s">
        <v>2</v>
      </c>
      <c r="H5" s="347" t="s">
        <v>227</v>
      </c>
      <c r="I5" s="347"/>
      <c r="J5" s="2"/>
      <c r="K5" s="4"/>
    </row>
    <row r="6" spans="1:11" ht="14.25" customHeight="1" x14ac:dyDescent="0.3">
      <c r="A6" s="422"/>
      <c r="B6" s="422"/>
      <c r="C6" s="422"/>
      <c r="D6" s="422"/>
      <c r="E6" s="422"/>
      <c r="G6" s="344" t="s">
        <v>23</v>
      </c>
      <c r="H6" s="452">
        <v>55265492200541</v>
      </c>
      <c r="I6" s="452"/>
      <c r="J6" s="452"/>
      <c r="K6" s="10"/>
    </row>
    <row r="7" spans="1:11" ht="14.4" customHeight="1" x14ac:dyDescent="0.3">
      <c r="A7" s="422"/>
      <c r="B7" s="422"/>
      <c r="C7" s="422"/>
      <c r="D7" s="422"/>
      <c r="E7" s="422"/>
      <c r="G7" s="49" t="s">
        <v>2</v>
      </c>
      <c r="H7" s="456" t="s">
        <v>226</v>
      </c>
      <c r="I7" s="456"/>
      <c r="J7" s="2"/>
      <c r="K7" s="4"/>
    </row>
    <row r="8" spans="1:11" ht="14.4" customHeight="1" x14ac:dyDescent="0.3">
      <c r="A8" s="422"/>
      <c r="B8" s="422"/>
      <c r="C8" s="422"/>
      <c r="D8" s="422"/>
      <c r="E8" s="422"/>
      <c r="G8" s="344" t="s">
        <v>228</v>
      </c>
      <c r="H8" s="346"/>
      <c r="I8" s="125"/>
      <c r="J8" s="9"/>
      <c r="K8" s="10"/>
    </row>
    <row r="9" spans="1:11" ht="14.4" customHeight="1" x14ac:dyDescent="0.3">
      <c r="A9" s="422"/>
      <c r="B9" s="422"/>
      <c r="C9" s="422"/>
      <c r="D9" s="422"/>
      <c r="E9" s="422"/>
      <c r="G9" s="49" t="s">
        <v>2</v>
      </c>
      <c r="H9" s="347" t="s">
        <v>227</v>
      </c>
      <c r="I9" s="347"/>
      <c r="J9" s="2"/>
      <c r="K9" s="4"/>
    </row>
    <row r="10" spans="1:11" x14ac:dyDescent="0.3">
      <c r="A10" s="422"/>
      <c r="B10" s="422"/>
      <c r="C10" s="422"/>
      <c r="D10" s="422"/>
      <c r="E10" s="422"/>
      <c r="F10" s="100"/>
      <c r="G10" s="128"/>
      <c r="H10" s="129"/>
      <c r="I10" s="129"/>
      <c r="J10" s="129"/>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346"/>
      <c r="D13" s="346"/>
      <c r="E13" s="122"/>
      <c r="G13" s="344"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348"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340"/>
      <c r="D18" s="340"/>
      <c r="E18" s="124"/>
      <c r="G18" s="49" t="s">
        <v>75</v>
      </c>
      <c r="H18" s="2"/>
      <c r="I18" s="340"/>
      <c r="J18" s="2"/>
      <c r="K18" s="4"/>
    </row>
    <row r="20" spans="1:11" x14ac:dyDescent="0.3">
      <c r="A20" s="423" t="s">
        <v>25</v>
      </c>
      <c r="B20" s="467" t="s">
        <v>30</v>
      </c>
      <c r="C20" s="418"/>
      <c r="D20" s="418"/>
      <c r="E20" s="418"/>
      <c r="F20" s="418"/>
      <c r="G20" s="419"/>
      <c r="H20" s="419" t="s">
        <v>29</v>
      </c>
      <c r="I20" s="437" t="s">
        <v>136</v>
      </c>
      <c r="J20" s="499" t="s">
        <v>101</v>
      </c>
      <c r="K20" s="342" t="s">
        <v>26</v>
      </c>
    </row>
    <row r="21" spans="1:11" x14ac:dyDescent="0.3">
      <c r="A21" s="424"/>
      <c r="B21" s="468"/>
      <c r="C21" s="420"/>
      <c r="D21" s="420"/>
      <c r="E21" s="420"/>
      <c r="F21" s="420"/>
      <c r="G21" s="421"/>
      <c r="H21" s="421"/>
      <c r="I21" s="449"/>
      <c r="J21" s="500"/>
      <c r="K21" s="343"/>
    </row>
    <row r="22" spans="1:11" ht="14.4" customHeight="1" x14ac:dyDescent="0.3">
      <c r="A22" s="232">
        <v>1</v>
      </c>
      <c r="B22" s="515" t="s">
        <v>229</v>
      </c>
      <c r="C22" s="516"/>
      <c r="D22" s="516"/>
      <c r="E22" s="516"/>
      <c r="F22" s="516"/>
      <c r="G22" s="517"/>
      <c r="H22" s="523">
        <v>3926</v>
      </c>
      <c r="I22" s="232">
        <v>4320</v>
      </c>
      <c r="J22" s="357">
        <v>7.5254300000000001</v>
      </c>
      <c r="K22" s="168">
        <f>SUM(J22*I22)</f>
        <v>32509.857599999999</v>
      </c>
    </row>
    <row r="23" spans="1:11" ht="15.6" x14ac:dyDescent="0.3">
      <c r="A23" s="234"/>
      <c r="B23" s="518"/>
      <c r="C23" s="519"/>
      <c r="D23" s="519"/>
      <c r="E23" s="519"/>
      <c r="F23" s="519"/>
      <c r="G23" s="520"/>
      <c r="H23" s="524"/>
      <c r="I23" s="236"/>
      <c r="J23" s="237"/>
      <c r="K23" s="237"/>
    </row>
    <row r="24" spans="1:11" ht="15.6" x14ac:dyDescent="0.3">
      <c r="A24" s="234"/>
      <c r="B24" s="518"/>
      <c r="C24" s="519"/>
      <c r="D24" s="519"/>
      <c r="E24" s="519"/>
      <c r="F24" s="519"/>
      <c r="G24" s="520"/>
      <c r="H24" s="235"/>
      <c r="I24" s="236"/>
      <c r="J24" s="237"/>
      <c r="K24" s="237"/>
    </row>
    <row r="25" spans="1:11" ht="15.6" x14ac:dyDescent="0.3">
      <c r="A25" s="234"/>
      <c r="B25" s="518"/>
      <c r="C25" s="519"/>
      <c r="D25" s="519"/>
      <c r="E25" s="519"/>
      <c r="F25" s="519"/>
      <c r="G25" s="520"/>
      <c r="H25" s="235"/>
      <c r="I25" s="236"/>
      <c r="J25" s="237"/>
      <c r="K25" s="237"/>
    </row>
    <row r="26" spans="1:11" ht="15.6" x14ac:dyDescent="0.3">
      <c r="A26" s="234"/>
      <c r="B26" s="518"/>
      <c r="C26" s="519"/>
      <c r="D26" s="519"/>
      <c r="E26" s="519"/>
      <c r="F26" s="519"/>
      <c r="G26" s="520"/>
      <c r="H26" s="235"/>
      <c r="I26" s="236"/>
      <c r="J26" s="237"/>
      <c r="K26" s="237"/>
    </row>
    <row r="27" spans="1:11" ht="15.6" x14ac:dyDescent="0.3">
      <c r="A27" s="234"/>
      <c r="B27" s="518"/>
      <c r="C27" s="519"/>
      <c r="D27" s="519"/>
      <c r="E27" s="519"/>
      <c r="F27" s="519"/>
      <c r="G27" s="520"/>
      <c r="H27" s="235"/>
      <c r="I27" s="236"/>
      <c r="J27" s="237"/>
      <c r="K27" s="237"/>
    </row>
    <row r="28" spans="1:11" ht="15.6" x14ac:dyDescent="0.3">
      <c r="A28" s="234"/>
      <c r="B28" s="307"/>
      <c r="C28" s="308"/>
      <c r="D28" s="308"/>
      <c r="E28" s="308"/>
      <c r="F28" s="308"/>
      <c r="G28" s="309"/>
      <c r="H28" s="235"/>
      <c r="I28" s="236"/>
      <c r="J28" s="237"/>
      <c r="K28" s="237"/>
    </row>
    <row r="29" spans="1:11" ht="15.6" x14ac:dyDescent="0.3">
      <c r="A29" s="234"/>
      <c r="B29" s="307"/>
      <c r="C29" s="308"/>
      <c r="D29" s="308"/>
      <c r="E29" s="308"/>
      <c r="F29" s="308"/>
      <c r="G29" s="309"/>
      <c r="H29" s="235"/>
      <c r="I29" s="236"/>
      <c r="J29" s="237"/>
      <c r="K29" s="237"/>
    </row>
    <row r="30" spans="1:11" ht="14.4" customHeight="1" x14ac:dyDescent="0.3">
      <c r="A30" s="238"/>
      <c r="B30" s="307"/>
      <c r="C30" s="308"/>
      <c r="D30" s="308"/>
      <c r="E30" s="308"/>
      <c r="F30" s="308"/>
      <c r="G30" s="309"/>
      <c r="H30" s="239"/>
      <c r="I30" s="237"/>
      <c r="J30" s="237"/>
      <c r="K30" s="237"/>
    </row>
    <row r="31" spans="1:11" ht="14.4" customHeight="1" x14ac:dyDescent="0.3">
      <c r="A31" s="238"/>
      <c r="B31" s="307"/>
      <c r="C31" s="308"/>
      <c r="D31" s="308"/>
      <c r="E31" s="308"/>
      <c r="F31" s="308"/>
      <c r="G31" s="309"/>
      <c r="H31" s="239"/>
      <c r="I31" s="237"/>
      <c r="J31" s="237"/>
      <c r="K31" s="237"/>
    </row>
    <row r="32" spans="1:11" ht="14.4" customHeight="1" x14ac:dyDescent="0.3">
      <c r="A32" s="238"/>
      <c r="B32" s="307"/>
      <c r="C32" s="308"/>
      <c r="D32" s="308"/>
      <c r="E32" s="308"/>
      <c r="F32" s="308"/>
      <c r="G32" s="309"/>
      <c r="H32" s="239"/>
      <c r="I32" s="237"/>
      <c r="J32" s="237"/>
      <c r="K32" s="237"/>
    </row>
    <row r="33" spans="1:11" ht="14.4" customHeight="1" x14ac:dyDescent="0.3">
      <c r="A33" s="136"/>
      <c r="B33" s="307"/>
      <c r="C33" s="308"/>
      <c r="D33" s="308"/>
      <c r="E33" s="308"/>
      <c r="F33" s="308"/>
      <c r="G33" s="309"/>
      <c r="H33" s="216"/>
      <c r="I33" s="212"/>
      <c r="J33" s="212"/>
      <c r="K33" s="212"/>
    </row>
    <row r="34" spans="1:11" x14ac:dyDescent="0.3">
      <c r="A34" s="136"/>
      <c r="B34" s="213"/>
      <c r="C34" s="214"/>
      <c r="D34" s="214"/>
      <c r="E34" s="214"/>
      <c r="F34" s="214"/>
      <c r="G34" s="215"/>
      <c r="H34" s="216"/>
      <c r="I34" s="212"/>
      <c r="J34" s="212"/>
      <c r="K34" s="212"/>
    </row>
    <row r="35" spans="1:11" x14ac:dyDescent="0.3">
      <c r="A35" s="136"/>
      <c r="B35" s="213"/>
      <c r="C35" s="214"/>
      <c r="D35" s="214"/>
      <c r="E35" s="214"/>
      <c r="F35" s="214"/>
      <c r="G35" s="215"/>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477" t="s">
        <v>224</v>
      </c>
      <c r="D38" s="477"/>
      <c r="E38" s="477"/>
      <c r="F38" s="477"/>
      <c r="G38" s="478"/>
      <c r="H38" s="406" t="s">
        <v>31</v>
      </c>
      <c r="I38" s="407"/>
      <c r="J38" s="501">
        <f xml:space="preserve"> +SUM(K22+0)</f>
        <v>32509.857599999999</v>
      </c>
      <c r="K38" s="502"/>
    </row>
    <row r="39" spans="1:11" x14ac:dyDescent="0.3">
      <c r="A39" s="11"/>
      <c r="B39" s="100"/>
      <c r="C39" s="479"/>
      <c r="D39" s="479"/>
      <c r="E39" s="479"/>
      <c r="F39" s="479"/>
      <c r="G39" s="480"/>
      <c r="H39" s="50" t="s">
        <v>32</v>
      </c>
      <c r="I39" s="38">
        <v>0.09</v>
      </c>
      <c r="J39" s="501">
        <f>K22 * I39</f>
        <v>2925.8871839999997</v>
      </c>
      <c r="K39" s="502"/>
    </row>
    <row r="40" spans="1:11" x14ac:dyDescent="0.3">
      <c r="A40" s="11"/>
      <c r="B40" s="100"/>
      <c r="C40" s="240"/>
      <c r="D40" s="240"/>
      <c r="E40" s="240"/>
      <c r="F40" s="240"/>
      <c r="G40" s="241"/>
      <c r="H40" s="50" t="s">
        <v>33</v>
      </c>
      <c r="I40" s="38">
        <v>0.09</v>
      </c>
      <c r="J40" s="501">
        <f>K22 * I40</f>
        <v>2925.8871839999997</v>
      </c>
      <c r="K40" s="502"/>
    </row>
    <row r="41" spans="1:11" x14ac:dyDescent="0.3">
      <c r="A41" s="5"/>
      <c r="B41" s="2"/>
      <c r="C41" s="218"/>
      <c r="D41" s="218"/>
      <c r="E41" s="218"/>
      <c r="F41" s="218"/>
      <c r="G41" s="223"/>
      <c r="H41" s="49" t="s">
        <v>34</v>
      </c>
      <c r="I41" s="341"/>
      <c r="J41" s="521">
        <f>+SUM(J38+J39+J40)</f>
        <v>38361.631968000002</v>
      </c>
      <c r="K41" s="522"/>
    </row>
    <row r="42" spans="1:11" x14ac:dyDescent="0.3">
      <c r="J42" s="221"/>
      <c r="K42" s="221"/>
    </row>
    <row r="43" spans="1:11" x14ac:dyDescent="0.3">
      <c r="J43" s="221"/>
      <c r="K43" s="221"/>
    </row>
    <row r="44" spans="1:11" x14ac:dyDescent="0.3">
      <c r="A44" s="345" t="s">
        <v>36</v>
      </c>
      <c r="B44" s="345"/>
    </row>
    <row r="45" spans="1:11" x14ac:dyDescent="0.3">
      <c r="A45" s="345" t="s">
        <v>37</v>
      </c>
      <c r="B45" s="345"/>
      <c r="C45" t="s">
        <v>41</v>
      </c>
      <c r="I45" s="405"/>
      <c r="J45" s="405"/>
      <c r="K45" s="405"/>
    </row>
    <row r="46" spans="1:11" x14ac:dyDescent="0.3">
      <c r="A46" s="345" t="s">
        <v>38</v>
      </c>
      <c r="B46" s="345"/>
      <c r="C46" s="36" t="s">
        <v>42</v>
      </c>
      <c r="H46" s="119"/>
      <c r="I46" s="405"/>
      <c r="J46" s="405"/>
      <c r="K46" s="405"/>
    </row>
    <row r="47" spans="1:11" x14ac:dyDescent="0.3">
      <c r="A47" s="345" t="s">
        <v>39</v>
      </c>
      <c r="B47" s="345"/>
      <c r="C47" t="s">
        <v>44</v>
      </c>
      <c r="H47" s="119"/>
      <c r="I47" s="405"/>
      <c r="J47" s="405"/>
      <c r="K47" s="405"/>
    </row>
    <row r="48" spans="1:11" x14ac:dyDescent="0.3">
      <c r="A48" s="345" t="s">
        <v>40</v>
      </c>
      <c r="B48" s="345"/>
      <c r="C48" t="s">
        <v>43</v>
      </c>
      <c r="J48" s="54" t="s">
        <v>48</v>
      </c>
    </row>
  </sheetData>
  <mergeCells count="24">
    <mergeCell ref="J40:K40"/>
    <mergeCell ref="J41:K41"/>
    <mergeCell ref="I45:K47"/>
    <mergeCell ref="B22:G27"/>
    <mergeCell ref="H22:H23"/>
    <mergeCell ref="A38:B38"/>
    <mergeCell ref="C38:G39"/>
    <mergeCell ref="H38:I38"/>
    <mergeCell ref="J38:K38"/>
    <mergeCell ref="J39:K39"/>
    <mergeCell ref="A14:E15"/>
    <mergeCell ref="G14:K15"/>
    <mergeCell ref="G17:H17"/>
    <mergeCell ref="A20:A21"/>
    <mergeCell ref="B20:G21"/>
    <mergeCell ref="H20:H21"/>
    <mergeCell ref="I20:I21"/>
    <mergeCell ref="J20:J21"/>
    <mergeCell ref="A1:E10"/>
    <mergeCell ref="G1:K2"/>
    <mergeCell ref="H6:J6"/>
    <mergeCell ref="H7:I7"/>
    <mergeCell ref="A12:E12"/>
    <mergeCell ref="G12:K12"/>
  </mergeCells>
  <printOptions horizontalCentered="1" verticalCentered="1"/>
  <pageMargins left="0" right="0" top="0" bottom="0" header="0" footer="0"/>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EDB34-A639-4707-B1CB-89CA2E768F59}">
  <sheetPr>
    <pageSetUpPr fitToPage="1"/>
  </sheetPr>
  <dimension ref="A1:K48"/>
  <sheetViews>
    <sheetView showWhiteSpace="0" view="pageBreakPreview" zoomScale="115" zoomScaleNormal="190" zoomScaleSheetLayoutView="115" zoomScalePageLayoutView="85" workbookViewId="0">
      <selection activeCell="H7" sqref="H7:I7"/>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11.77734375" customWidth="1"/>
    <col min="10" max="10" width="11.33203125" customWidth="1"/>
    <col min="11" max="11" width="11.44140625" customWidth="1"/>
    <col min="12" max="12" width="5.44140625" customWidth="1"/>
  </cols>
  <sheetData>
    <row r="1" spans="1:11" ht="14.25" customHeight="1" x14ac:dyDescent="0.3">
      <c r="A1" s="422"/>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232</v>
      </c>
      <c r="H4" s="171"/>
      <c r="I4" s="355"/>
      <c r="J4" s="9"/>
      <c r="K4" s="10"/>
    </row>
    <row r="5" spans="1:11" ht="14.4" customHeight="1" x14ac:dyDescent="0.3">
      <c r="A5" s="422"/>
      <c r="B5" s="422"/>
      <c r="C5" s="422"/>
      <c r="D5" s="422"/>
      <c r="E5" s="422"/>
      <c r="G5" s="49" t="s">
        <v>2</v>
      </c>
      <c r="H5" s="456">
        <v>46177</v>
      </c>
      <c r="I5" s="456"/>
      <c r="J5" s="2"/>
      <c r="K5" s="4"/>
    </row>
    <row r="6" spans="1:11" ht="14.25" customHeight="1" x14ac:dyDescent="0.3">
      <c r="A6" s="422"/>
      <c r="B6" s="422"/>
      <c r="C6" s="422"/>
      <c r="D6" s="422"/>
      <c r="E6" s="422"/>
      <c r="G6" s="350" t="s">
        <v>23</v>
      </c>
      <c r="H6" s="452">
        <v>55265184100393</v>
      </c>
      <c r="I6" s="452"/>
      <c r="J6" s="452"/>
      <c r="K6" s="10"/>
    </row>
    <row r="7" spans="1:11" ht="14.4" customHeight="1" x14ac:dyDescent="0.3">
      <c r="A7" s="422"/>
      <c r="B7" s="422"/>
      <c r="C7" s="422"/>
      <c r="D7" s="422"/>
      <c r="E7" s="422"/>
      <c r="G7" s="49" t="s">
        <v>2</v>
      </c>
      <c r="H7" s="456" t="s">
        <v>233</v>
      </c>
      <c r="I7" s="456"/>
      <c r="J7" s="2"/>
      <c r="K7" s="4"/>
    </row>
    <row r="8" spans="1:11" ht="14.4" customHeight="1" x14ac:dyDescent="0.3">
      <c r="A8" s="422"/>
      <c r="B8" s="422"/>
      <c r="C8" s="422"/>
      <c r="D8" s="422"/>
      <c r="E8" s="422"/>
      <c r="G8" s="350" t="s">
        <v>234</v>
      </c>
      <c r="H8" s="355"/>
      <c r="I8" s="125"/>
      <c r="J8" s="9"/>
      <c r="K8" s="10"/>
    </row>
    <row r="9" spans="1:11" ht="14.4" customHeight="1" x14ac:dyDescent="0.3">
      <c r="A9" s="422"/>
      <c r="B9" s="422"/>
      <c r="C9" s="422"/>
      <c r="D9" s="422"/>
      <c r="E9" s="422"/>
      <c r="G9" s="49" t="s">
        <v>2</v>
      </c>
      <c r="H9" s="456">
        <v>46177</v>
      </c>
      <c r="I9" s="456"/>
      <c r="J9" s="2"/>
      <c r="K9" s="4"/>
    </row>
    <row r="10" spans="1:11" x14ac:dyDescent="0.3">
      <c r="A10" s="422"/>
      <c r="B10" s="422"/>
      <c r="C10" s="422"/>
      <c r="D10" s="422"/>
      <c r="E10" s="422"/>
      <c r="F10" s="100"/>
      <c r="G10" s="128"/>
      <c r="H10" s="129"/>
      <c r="I10" s="129"/>
      <c r="J10" s="129"/>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355"/>
      <c r="D13" s="355"/>
      <c r="E13" s="122"/>
      <c r="G13" s="350"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356"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353"/>
      <c r="D18" s="353"/>
      <c r="E18" s="124"/>
      <c r="G18" s="49" t="s">
        <v>75</v>
      </c>
      <c r="H18" s="2"/>
      <c r="I18" s="353"/>
      <c r="J18" s="2"/>
      <c r="K18" s="4"/>
    </row>
    <row r="20" spans="1:11" x14ac:dyDescent="0.3">
      <c r="A20" s="423" t="s">
        <v>25</v>
      </c>
      <c r="B20" s="467" t="s">
        <v>30</v>
      </c>
      <c r="C20" s="418"/>
      <c r="D20" s="418"/>
      <c r="E20" s="418"/>
      <c r="F20" s="418"/>
      <c r="G20" s="419"/>
      <c r="H20" s="419" t="s">
        <v>29</v>
      </c>
      <c r="I20" s="437" t="s">
        <v>108</v>
      </c>
      <c r="J20" s="499" t="s">
        <v>101</v>
      </c>
      <c r="K20" s="351" t="s">
        <v>26</v>
      </c>
    </row>
    <row r="21" spans="1:11" x14ac:dyDescent="0.3">
      <c r="A21" s="424"/>
      <c r="B21" s="468"/>
      <c r="C21" s="420"/>
      <c r="D21" s="420"/>
      <c r="E21" s="420"/>
      <c r="F21" s="420"/>
      <c r="G21" s="421"/>
      <c r="H21" s="421"/>
      <c r="I21" s="449"/>
      <c r="J21" s="500"/>
      <c r="K21" s="352"/>
    </row>
    <row r="22" spans="1:11" ht="14.4" customHeight="1" x14ac:dyDescent="0.3">
      <c r="A22" s="232">
        <v>1</v>
      </c>
      <c r="B22" s="515" t="s">
        <v>235</v>
      </c>
      <c r="C22" s="516"/>
      <c r="D22" s="516"/>
      <c r="E22" s="516"/>
      <c r="F22" s="516"/>
      <c r="G22" s="517"/>
      <c r="H22" s="523">
        <v>7307</v>
      </c>
      <c r="I22" s="232">
        <v>4</v>
      </c>
      <c r="J22" s="357">
        <v>31360</v>
      </c>
      <c r="K22" s="168">
        <f>SUM(J22*I22)</f>
        <v>125440</v>
      </c>
    </row>
    <row r="23" spans="1:11" ht="15.6" x14ac:dyDescent="0.3">
      <c r="A23" s="234"/>
      <c r="B23" s="518"/>
      <c r="C23" s="519"/>
      <c r="D23" s="519"/>
      <c r="E23" s="519"/>
      <c r="F23" s="519"/>
      <c r="G23" s="520"/>
      <c r="H23" s="524"/>
      <c r="I23" s="236"/>
      <c r="J23" s="237"/>
      <c r="K23" s="237"/>
    </row>
    <row r="24" spans="1:11" ht="15.6" x14ac:dyDescent="0.3">
      <c r="A24" s="234"/>
      <c r="B24" s="518"/>
      <c r="C24" s="519"/>
      <c r="D24" s="519"/>
      <c r="E24" s="519"/>
      <c r="F24" s="519"/>
      <c r="G24" s="520"/>
      <c r="H24" s="235"/>
      <c r="I24" s="236"/>
      <c r="J24" s="237"/>
      <c r="K24" s="237"/>
    </row>
    <row r="25" spans="1:11" ht="15.6" x14ac:dyDescent="0.3">
      <c r="A25" s="234"/>
      <c r="B25" s="518"/>
      <c r="C25" s="519"/>
      <c r="D25" s="519"/>
      <c r="E25" s="519"/>
      <c r="F25" s="519"/>
      <c r="G25" s="520"/>
      <c r="H25" s="235"/>
      <c r="I25" s="236"/>
      <c r="J25" s="237"/>
      <c r="K25" s="237"/>
    </row>
    <row r="26" spans="1:11" ht="15.6" x14ac:dyDescent="0.3">
      <c r="A26" s="234"/>
      <c r="B26" s="518"/>
      <c r="C26" s="519"/>
      <c r="D26" s="519"/>
      <c r="E26" s="519"/>
      <c r="F26" s="519"/>
      <c r="G26" s="520"/>
      <c r="H26" s="235"/>
      <c r="I26" s="236"/>
      <c r="J26" s="237"/>
      <c r="K26" s="237"/>
    </row>
    <row r="27" spans="1:11" ht="15.6" x14ac:dyDescent="0.3">
      <c r="A27" s="234"/>
      <c r="B27" s="518"/>
      <c r="C27" s="519"/>
      <c r="D27" s="519"/>
      <c r="E27" s="519"/>
      <c r="F27" s="519"/>
      <c r="G27" s="520"/>
      <c r="H27" s="235"/>
      <c r="I27" s="236"/>
      <c r="J27" s="237"/>
      <c r="K27" s="237"/>
    </row>
    <row r="28" spans="1:11" ht="15.6" x14ac:dyDescent="0.3">
      <c r="A28" s="234"/>
      <c r="B28" s="307"/>
      <c r="C28" s="308"/>
      <c r="D28" s="308"/>
      <c r="E28" s="308"/>
      <c r="F28" s="308"/>
      <c r="G28" s="309"/>
      <c r="H28" s="235"/>
      <c r="I28" s="236"/>
      <c r="J28" s="237"/>
      <c r="K28" s="237"/>
    </row>
    <row r="29" spans="1:11" ht="15.6" x14ac:dyDescent="0.3">
      <c r="A29" s="234"/>
      <c r="B29" s="307"/>
      <c r="C29" s="308"/>
      <c r="D29" s="308"/>
      <c r="E29" s="308"/>
      <c r="F29" s="308"/>
      <c r="G29" s="309"/>
      <c r="H29" s="235"/>
      <c r="I29" s="236"/>
      <c r="J29" s="237"/>
      <c r="K29" s="237"/>
    </row>
    <row r="30" spans="1:11" ht="14.4" customHeight="1" x14ac:dyDescent="0.3">
      <c r="A30" s="238"/>
      <c r="B30" s="307"/>
      <c r="C30" s="308"/>
      <c r="D30" s="308"/>
      <c r="E30" s="308"/>
      <c r="F30" s="308"/>
      <c r="G30" s="309"/>
      <c r="H30" s="239"/>
      <c r="I30" s="237"/>
      <c r="J30" s="237"/>
      <c r="K30" s="237"/>
    </row>
    <row r="31" spans="1:11" ht="14.4" customHeight="1" x14ac:dyDescent="0.3">
      <c r="A31" s="238"/>
      <c r="B31" s="307"/>
      <c r="C31" s="308"/>
      <c r="D31" s="308"/>
      <c r="E31" s="308"/>
      <c r="F31" s="308"/>
      <c r="G31" s="309"/>
      <c r="H31" s="239"/>
      <c r="I31" s="237"/>
      <c r="J31" s="237"/>
      <c r="K31" s="237"/>
    </row>
    <row r="32" spans="1:11" ht="14.4" customHeight="1" x14ac:dyDescent="0.3">
      <c r="A32" s="238"/>
      <c r="B32" s="307"/>
      <c r="C32" s="308"/>
      <c r="D32" s="308"/>
      <c r="E32" s="308"/>
      <c r="F32" s="308"/>
      <c r="G32" s="309"/>
      <c r="H32" s="239"/>
      <c r="I32" s="237"/>
      <c r="J32" s="237"/>
      <c r="K32" s="237"/>
    </row>
    <row r="33" spans="1:11" ht="14.4" customHeight="1" x14ac:dyDescent="0.3">
      <c r="A33" s="136"/>
      <c r="B33" s="307"/>
      <c r="C33" s="308"/>
      <c r="D33" s="308"/>
      <c r="E33" s="308"/>
      <c r="F33" s="308"/>
      <c r="G33" s="309"/>
      <c r="H33" s="216"/>
      <c r="I33" s="212"/>
      <c r="J33" s="212"/>
      <c r="K33" s="212"/>
    </row>
    <row r="34" spans="1:11" x14ac:dyDescent="0.3">
      <c r="A34" s="136"/>
      <c r="B34" s="213"/>
      <c r="C34" s="214"/>
      <c r="D34" s="214"/>
      <c r="E34" s="214"/>
      <c r="F34" s="214"/>
      <c r="G34" s="215"/>
      <c r="H34" s="216"/>
      <c r="I34" s="212"/>
      <c r="J34" s="212"/>
      <c r="K34" s="212"/>
    </row>
    <row r="35" spans="1:11" x14ac:dyDescent="0.3">
      <c r="A35" s="136"/>
      <c r="B35" s="213"/>
      <c r="C35" s="214"/>
      <c r="D35" s="214"/>
      <c r="E35" s="214"/>
      <c r="F35" s="214"/>
      <c r="G35" s="215"/>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477" t="s">
        <v>236</v>
      </c>
      <c r="D38" s="477"/>
      <c r="E38" s="477"/>
      <c r="F38" s="477"/>
      <c r="G38" s="478"/>
      <c r="H38" s="406" t="s">
        <v>31</v>
      </c>
      <c r="I38" s="407"/>
      <c r="J38" s="501">
        <f xml:space="preserve"> +SUM(K22+0)</f>
        <v>125440</v>
      </c>
      <c r="K38" s="502"/>
    </row>
    <row r="39" spans="1:11" x14ac:dyDescent="0.3">
      <c r="A39" s="11"/>
      <c r="B39" s="100"/>
      <c r="C39" s="479"/>
      <c r="D39" s="479"/>
      <c r="E39" s="479"/>
      <c r="F39" s="479"/>
      <c r="G39" s="480"/>
      <c r="H39" s="50" t="s">
        <v>32</v>
      </c>
      <c r="I39" s="38">
        <v>0.09</v>
      </c>
      <c r="J39" s="501">
        <f>K22 * I39</f>
        <v>11289.6</v>
      </c>
      <c r="K39" s="502"/>
    </row>
    <row r="40" spans="1:11" x14ac:dyDescent="0.3">
      <c r="A40" s="11"/>
      <c r="B40" s="100"/>
      <c r="C40" s="240"/>
      <c r="D40" s="240"/>
      <c r="E40" s="240"/>
      <c r="F40" s="240"/>
      <c r="G40" s="241"/>
      <c r="H40" s="50" t="s">
        <v>33</v>
      </c>
      <c r="I40" s="38">
        <v>0.09</v>
      </c>
      <c r="J40" s="501">
        <f>K22 * I40</f>
        <v>11289.6</v>
      </c>
      <c r="K40" s="502"/>
    </row>
    <row r="41" spans="1:11" x14ac:dyDescent="0.3">
      <c r="A41" s="5"/>
      <c r="B41" s="2"/>
      <c r="C41" s="218"/>
      <c r="D41" s="218"/>
      <c r="E41" s="218"/>
      <c r="F41" s="218"/>
      <c r="G41" s="223"/>
      <c r="H41" s="49" t="s">
        <v>34</v>
      </c>
      <c r="I41" s="354"/>
      <c r="J41" s="521">
        <f>+SUM(J38+J39+J40)</f>
        <v>148019.20000000001</v>
      </c>
      <c r="K41" s="522"/>
    </row>
    <row r="42" spans="1:11" x14ac:dyDescent="0.3">
      <c r="J42" s="221"/>
      <c r="K42" s="221"/>
    </row>
    <row r="43" spans="1:11" x14ac:dyDescent="0.3">
      <c r="J43" s="221"/>
      <c r="K43" s="221"/>
    </row>
    <row r="44" spans="1:11" x14ac:dyDescent="0.3">
      <c r="A44" s="349" t="s">
        <v>36</v>
      </c>
      <c r="B44" s="349"/>
    </row>
    <row r="45" spans="1:11" x14ac:dyDescent="0.3">
      <c r="A45" s="349" t="s">
        <v>37</v>
      </c>
      <c r="B45" s="349"/>
      <c r="C45" t="s">
        <v>41</v>
      </c>
      <c r="I45" s="405"/>
      <c r="J45" s="405"/>
      <c r="K45" s="405"/>
    </row>
    <row r="46" spans="1:11" x14ac:dyDescent="0.3">
      <c r="A46" s="349" t="s">
        <v>38</v>
      </c>
      <c r="B46" s="349"/>
      <c r="C46" s="36" t="s">
        <v>42</v>
      </c>
      <c r="H46" s="119"/>
      <c r="I46" s="405"/>
      <c r="J46" s="405"/>
      <c r="K46" s="405"/>
    </row>
    <row r="47" spans="1:11" x14ac:dyDescent="0.3">
      <c r="A47" s="349" t="s">
        <v>39</v>
      </c>
      <c r="B47" s="349"/>
      <c r="C47" t="s">
        <v>44</v>
      </c>
      <c r="H47" s="119"/>
      <c r="I47" s="405"/>
      <c r="J47" s="405"/>
      <c r="K47" s="405"/>
    </row>
    <row r="48" spans="1:11" x14ac:dyDescent="0.3">
      <c r="A48" s="349" t="s">
        <v>40</v>
      </c>
      <c r="B48" s="349"/>
      <c r="C48" t="s">
        <v>43</v>
      </c>
      <c r="J48" s="54" t="s">
        <v>48</v>
      </c>
    </row>
  </sheetData>
  <mergeCells count="26">
    <mergeCell ref="A1:E10"/>
    <mergeCell ref="G1:K2"/>
    <mergeCell ref="H6:J6"/>
    <mergeCell ref="H7:I7"/>
    <mergeCell ref="A12:E12"/>
    <mergeCell ref="G12:K12"/>
    <mergeCell ref="A14:E15"/>
    <mergeCell ref="G14:K15"/>
    <mergeCell ref="G17:H17"/>
    <mergeCell ref="A20:A21"/>
    <mergeCell ref="B20:G21"/>
    <mergeCell ref="H20:H21"/>
    <mergeCell ref="I20:I21"/>
    <mergeCell ref="J20:J21"/>
    <mergeCell ref="B22:G27"/>
    <mergeCell ref="H22:H23"/>
    <mergeCell ref="A38:B38"/>
    <mergeCell ref="C38:G39"/>
    <mergeCell ref="H38:I38"/>
    <mergeCell ref="J40:K40"/>
    <mergeCell ref="J41:K41"/>
    <mergeCell ref="I45:K47"/>
    <mergeCell ref="H5:I5"/>
    <mergeCell ref="H9:I9"/>
    <mergeCell ref="J38:K38"/>
    <mergeCell ref="J39:K39"/>
  </mergeCells>
  <printOptions horizontalCentered="1" verticalCentered="1"/>
  <pageMargins left="0" right="0" top="0" bottom="0" header="0" footer="0"/>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90373-8F0D-4FE0-A850-132878CD4FD4}">
  <sheetPr>
    <pageSetUpPr fitToPage="1"/>
  </sheetPr>
  <dimension ref="A1:K48"/>
  <sheetViews>
    <sheetView showWhiteSpace="0" view="pageBreakPreview" topLeftCell="A19" zoomScale="115" zoomScaleNormal="190" zoomScaleSheetLayoutView="115" zoomScalePageLayoutView="85" workbookViewId="0">
      <selection activeCell="B22" sqref="B22:G27"/>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11.77734375" customWidth="1"/>
    <col min="10" max="10" width="11.33203125" customWidth="1"/>
    <col min="11" max="11" width="11.44140625" customWidth="1"/>
    <col min="12" max="12" width="5.44140625" customWidth="1"/>
  </cols>
  <sheetData>
    <row r="1" spans="1:11" ht="14.25" customHeight="1" x14ac:dyDescent="0.3">
      <c r="A1" s="422"/>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237</v>
      </c>
      <c r="H4" s="171"/>
      <c r="I4" s="364"/>
      <c r="J4" s="9"/>
      <c r="K4" s="10"/>
    </row>
    <row r="5" spans="1:11" ht="14.4" customHeight="1" x14ac:dyDescent="0.3">
      <c r="A5" s="422"/>
      <c r="B5" s="422"/>
      <c r="C5" s="422"/>
      <c r="D5" s="422"/>
      <c r="E5" s="422"/>
      <c r="G5" s="49" t="s">
        <v>2</v>
      </c>
      <c r="H5" s="456">
        <v>46330</v>
      </c>
      <c r="I5" s="456"/>
      <c r="J5" s="2"/>
      <c r="K5" s="4"/>
    </row>
    <row r="6" spans="1:11" ht="14.25" customHeight="1" x14ac:dyDescent="0.3">
      <c r="A6" s="422"/>
      <c r="B6" s="422"/>
      <c r="C6" s="422"/>
      <c r="D6" s="422"/>
      <c r="E6" s="422"/>
      <c r="G6" s="362" t="s">
        <v>23</v>
      </c>
      <c r="H6" s="452">
        <v>55265300100493</v>
      </c>
      <c r="I6" s="452"/>
      <c r="J6" s="452"/>
      <c r="K6" s="10"/>
    </row>
    <row r="7" spans="1:11" ht="14.4" customHeight="1" x14ac:dyDescent="0.3">
      <c r="A7" s="422"/>
      <c r="B7" s="422"/>
      <c r="C7" s="422"/>
      <c r="D7" s="422"/>
      <c r="E7" s="422"/>
      <c r="G7" s="49" t="s">
        <v>2</v>
      </c>
      <c r="H7" s="456" t="s">
        <v>241</v>
      </c>
      <c r="I7" s="456"/>
      <c r="J7" s="2"/>
      <c r="K7" s="4"/>
    </row>
    <row r="8" spans="1:11" ht="14.4" customHeight="1" x14ac:dyDescent="0.3">
      <c r="A8" s="422"/>
      <c r="B8" s="422"/>
      <c r="C8" s="422"/>
      <c r="D8" s="422"/>
      <c r="E8" s="422"/>
      <c r="G8" s="362" t="s">
        <v>238</v>
      </c>
      <c r="H8" s="364"/>
      <c r="I8" s="125"/>
      <c r="J8" s="9"/>
      <c r="K8" s="10"/>
    </row>
    <row r="9" spans="1:11" ht="14.4" customHeight="1" x14ac:dyDescent="0.3">
      <c r="A9" s="422"/>
      <c r="B9" s="422"/>
      <c r="C9" s="422"/>
      <c r="D9" s="422"/>
      <c r="E9" s="422"/>
      <c r="G9" s="49" t="s">
        <v>2</v>
      </c>
      <c r="H9" s="456">
        <v>46330</v>
      </c>
      <c r="I9" s="456"/>
      <c r="J9" s="2"/>
      <c r="K9" s="4"/>
    </row>
    <row r="10" spans="1:11" x14ac:dyDescent="0.3">
      <c r="A10" s="422"/>
      <c r="B10" s="422"/>
      <c r="C10" s="422"/>
      <c r="D10" s="422"/>
      <c r="E10" s="422"/>
      <c r="F10" s="100"/>
      <c r="G10" s="529" t="s">
        <v>242</v>
      </c>
      <c r="H10" s="530"/>
      <c r="I10" s="530"/>
      <c r="J10" s="129" t="s">
        <v>243</v>
      </c>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364"/>
      <c r="D13" s="364"/>
      <c r="E13" s="122"/>
      <c r="G13" s="362"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365"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358"/>
      <c r="D18" s="358"/>
      <c r="E18" s="124"/>
      <c r="G18" s="49" t="s">
        <v>75</v>
      </c>
      <c r="H18" s="2"/>
      <c r="I18" s="358"/>
      <c r="J18" s="2"/>
      <c r="K18" s="4"/>
    </row>
    <row r="20" spans="1:11" x14ac:dyDescent="0.3">
      <c r="A20" s="423" t="s">
        <v>25</v>
      </c>
      <c r="B20" s="467" t="s">
        <v>30</v>
      </c>
      <c r="C20" s="418"/>
      <c r="D20" s="418"/>
      <c r="E20" s="418"/>
      <c r="F20" s="418"/>
      <c r="G20" s="419"/>
      <c r="H20" s="419" t="s">
        <v>29</v>
      </c>
      <c r="I20" s="437" t="s">
        <v>104</v>
      </c>
      <c r="J20" s="499" t="s">
        <v>101</v>
      </c>
      <c r="K20" s="360" t="s">
        <v>26</v>
      </c>
    </row>
    <row r="21" spans="1:11" x14ac:dyDescent="0.3">
      <c r="A21" s="424"/>
      <c r="B21" s="468"/>
      <c r="C21" s="420"/>
      <c r="D21" s="420"/>
      <c r="E21" s="420"/>
      <c r="F21" s="420"/>
      <c r="G21" s="421"/>
      <c r="H21" s="421"/>
      <c r="I21" s="449"/>
      <c r="J21" s="500"/>
      <c r="K21" s="361"/>
    </row>
    <row r="22" spans="1:11" ht="14.4" customHeight="1" x14ac:dyDescent="0.3">
      <c r="A22" s="232">
        <v>1</v>
      </c>
      <c r="B22" s="515" t="s">
        <v>239</v>
      </c>
      <c r="C22" s="516"/>
      <c r="D22" s="516"/>
      <c r="E22" s="516"/>
      <c r="F22" s="516"/>
      <c r="G22" s="517"/>
      <c r="H22" s="523">
        <v>8427</v>
      </c>
      <c r="I22" s="232">
        <v>1</v>
      </c>
      <c r="J22" s="357">
        <v>59000</v>
      </c>
      <c r="K22" s="168">
        <f>SUM(J22*I22)</f>
        <v>59000</v>
      </c>
    </row>
    <row r="23" spans="1:11" ht="15.6" x14ac:dyDescent="0.3">
      <c r="A23" s="234"/>
      <c r="B23" s="518"/>
      <c r="C23" s="519"/>
      <c r="D23" s="519"/>
      <c r="E23" s="519"/>
      <c r="F23" s="519"/>
      <c r="G23" s="520"/>
      <c r="H23" s="524"/>
      <c r="I23" s="236"/>
      <c r="J23" s="237"/>
      <c r="K23" s="237"/>
    </row>
    <row r="24" spans="1:11" ht="15.6" x14ac:dyDescent="0.3">
      <c r="A24" s="234"/>
      <c r="B24" s="518"/>
      <c r="C24" s="519"/>
      <c r="D24" s="519"/>
      <c r="E24" s="519"/>
      <c r="F24" s="519"/>
      <c r="G24" s="520"/>
      <c r="H24" s="235"/>
      <c r="I24" s="236"/>
      <c r="J24" s="237"/>
      <c r="K24" s="237"/>
    </row>
    <row r="25" spans="1:11" ht="15.6" x14ac:dyDescent="0.3">
      <c r="A25" s="234"/>
      <c r="B25" s="518"/>
      <c r="C25" s="519"/>
      <c r="D25" s="519"/>
      <c r="E25" s="519"/>
      <c r="F25" s="519"/>
      <c r="G25" s="520"/>
      <c r="H25" s="235"/>
      <c r="I25" s="236"/>
      <c r="J25" s="237"/>
      <c r="K25" s="237"/>
    </row>
    <row r="26" spans="1:11" ht="15.6" x14ac:dyDescent="0.3">
      <c r="A26" s="234"/>
      <c r="B26" s="518"/>
      <c r="C26" s="519"/>
      <c r="D26" s="519"/>
      <c r="E26" s="519"/>
      <c r="F26" s="519"/>
      <c r="G26" s="520"/>
      <c r="H26" s="235"/>
      <c r="I26" s="236"/>
      <c r="J26" s="237"/>
      <c r="K26" s="237"/>
    </row>
    <row r="27" spans="1:11" ht="15.6" x14ac:dyDescent="0.3">
      <c r="A27" s="234"/>
      <c r="B27" s="518"/>
      <c r="C27" s="519"/>
      <c r="D27" s="519"/>
      <c r="E27" s="519"/>
      <c r="F27" s="519"/>
      <c r="G27" s="520"/>
      <c r="H27" s="235"/>
      <c r="I27" s="236"/>
      <c r="J27" s="237"/>
      <c r="K27" s="237"/>
    </row>
    <row r="28" spans="1:11" ht="15.6" x14ac:dyDescent="0.3">
      <c r="A28" s="234"/>
      <c r="B28" s="307"/>
      <c r="C28" s="308"/>
      <c r="D28" s="308"/>
      <c r="E28" s="308"/>
      <c r="F28" s="308"/>
      <c r="G28" s="309"/>
      <c r="H28" s="235"/>
      <c r="I28" s="236"/>
      <c r="J28" s="237"/>
      <c r="K28" s="237"/>
    </row>
    <row r="29" spans="1:11" ht="15.6" x14ac:dyDescent="0.3">
      <c r="A29" s="234"/>
      <c r="B29" s="307"/>
      <c r="C29" s="308"/>
      <c r="D29" s="308"/>
      <c r="E29" s="308"/>
      <c r="F29" s="308"/>
      <c r="G29" s="309"/>
      <c r="H29" s="235"/>
      <c r="I29" s="236"/>
      <c r="J29" s="237"/>
      <c r="K29" s="237"/>
    </row>
    <row r="30" spans="1:11" ht="14.4" customHeight="1" x14ac:dyDescent="0.3">
      <c r="A30" s="238"/>
      <c r="B30" s="307"/>
      <c r="C30" s="308"/>
      <c r="D30" s="308"/>
      <c r="E30" s="308"/>
      <c r="F30" s="308"/>
      <c r="G30" s="309"/>
      <c r="H30" s="239"/>
      <c r="I30" s="237"/>
      <c r="J30" s="237"/>
      <c r="K30" s="237"/>
    </row>
    <row r="31" spans="1:11" ht="14.4" customHeight="1" x14ac:dyDescent="0.3">
      <c r="A31" s="238"/>
      <c r="B31" s="307"/>
      <c r="C31" s="308"/>
      <c r="D31" s="308"/>
      <c r="E31" s="308"/>
      <c r="F31" s="308"/>
      <c r="G31" s="309"/>
      <c r="H31" s="239"/>
      <c r="I31" s="237"/>
      <c r="J31" s="237"/>
      <c r="K31" s="237"/>
    </row>
    <row r="32" spans="1:11" ht="14.4" customHeight="1" x14ac:dyDescent="0.3">
      <c r="A32" s="238"/>
      <c r="B32" s="307"/>
      <c r="C32" s="308"/>
      <c r="D32" s="308"/>
      <c r="E32" s="308"/>
      <c r="F32" s="308"/>
      <c r="G32" s="309"/>
      <c r="H32" s="239"/>
      <c r="I32" s="237"/>
      <c r="J32" s="237"/>
      <c r="K32" s="237"/>
    </row>
    <row r="33" spans="1:11" ht="14.4" customHeight="1" x14ac:dyDescent="0.3">
      <c r="A33" s="136"/>
      <c r="B33" s="307"/>
      <c r="C33" s="308"/>
      <c r="D33" s="308"/>
      <c r="E33" s="308"/>
      <c r="F33" s="308"/>
      <c r="G33" s="309"/>
      <c r="H33" s="216"/>
      <c r="I33" s="212"/>
      <c r="J33" s="212"/>
      <c r="K33" s="212"/>
    </row>
    <row r="34" spans="1:11" x14ac:dyDescent="0.3">
      <c r="A34" s="136"/>
      <c r="B34" s="213"/>
      <c r="C34" s="214"/>
      <c r="D34" s="214"/>
      <c r="E34" s="214"/>
      <c r="F34" s="214"/>
      <c r="G34" s="215"/>
      <c r="H34" s="216"/>
      <c r="I34" s="212"/>
      <c r="J34" s="212"/>
      <c r="K34" s="212"/>
    </row>
    <row r="35" spans="1:11" x14ac:dyDescent="0.3">
      <c r="A35" s="136"/>
      <c r="B35" s="213"/>
      <c r="C35" s="214"/>
      <c r="D35" s="214"/>
      <c r="E35" s="214"/>
      <c r="F35" s="214"/>
      <c r="G35" s="215"/>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477" t="s">
        <v>240</v>
      </c>
      <c r="D38" s="477"/>
      <c r="E38" s="477"/>
      <c r="F38" s="477"/>
      <c r="G38" s="478"/>
      <c r="H38" s="406" t="s">
        <v>31</v>
      </c>
      <c r="I38" s="407"/>
      <c r="J38" s="501">
        <f xml:space="preserve"> +SUM(K22+0)</f>
        <v>59000</v>
      </c>
      <c r="K38" s="502"/>
    </row>
    <row r="39" spans="1:11" x14ac:dyDescent="0.3">
      <c r="A39" s="11"/>
      <c r="B39" s="100"/>
      <c r="C39" s="479"/>
      <c r="D39" s="479"/>
      <c r="E39" s="479"/>
      <c r="F39" s="479"/>
      <c r="G39" s="480"/>
      <c r="H39" s="50" t="s">
        <v>32</v>
      </c>
      <c r="I39" s="38">
        <v>0.09</v>
      </c>
      <c r="J39" s="501">
        <f>K22 * I39</f>
        <v>5310</v>
      </c>
      <c r="K39" s="502"/>
    </row>
    <row r="40" spans="1:11" x14ac:dyDescent="0.3">
      <c r="A40" s="11"/>
      <c r="B40" s="100"/>
      <c r="C40" s="240"/>
      <c r="D40" s="240"/>
      <c r="E40" s="240"/>
      <c r="F40" s="240"/>
      <c r="G40" s="241"/>
      <c r="H40" s="50" t="s">
        <v>33</v>
      </c>
      <c r="I40" s="38">
        <v>0.09</v>
      </c>
      <c r="J40" s="501">
        <f>K22 * I40</f>
        <v>5310</v>
      </c>
      <c r="K40" s="502"/>
    </row>
    <row r="41" spans="1:11" x14ac:dyDescent="0.3">
      <c r="A41" s="5"/>
      <c r="B41" s="2"/>
      <c r="C41" s="218"/>
      <c r="D41" s="218"/>
      <c r="E41" s="218"/>
      <c r="F41" s="218"/>
      <c r="G41" s="223"/>
      <c r="H41" s="49" t="s">
        <v>34</v>
      </c>
      <c r="I41" s="359"/>
      <c r="J41" s="521">
        <f>+SUM(J38+J39+J40)</f>
        <v>69620</v>
      </c>
      <c r="K41" s="522"/>
    </row>
    <row r="42" spans="1:11" x14ac:dyDescent="0.3">
      <c r="J42" s="221"/>
      <c r="K42" s="221"/>
    </row>
    <row r="43" spans="1:11" x14ac:dyDescent="0.3">
      <c r="J43" s="221"/>
      <c r="K43" s="221"/>
    </row>
    <row r="44" spans="1:11" x14ac:dyDescent="0.3">
      <c r="A44" s="363" t="s">
        <v>36</v>
      </c>
      <c r="B44" s="363"/>
    </row>
    <row r="45" spans="1:11" x14ac:dyDescent="0.3">
      <c r="A45" s="363" t="s">
        <v>37</v>
      </c>
      <c r="B45" s="363"/>
      <c r="C45" t="s">
        <v>41</v>
      </c>
      <c r="I45" s="405"/>
      <c r="J45" s="405"/>
      <c r="K45" s="405"/>
    </row>
    <row r="46" spans="1:11" x14ac:dyDescent="0.3">
      <c r="A46" s="363" t="s">
        <v>38</v>
      </c>
      <c r="B46" s="363"/>
      <c r="C46" s="36" t="s">
        <v>42</v>
      </c>
      <c r="H46" s="119"/>
      <c r="I46" s="405"/>
      <c r="J46" s="405"/>
      <c r="K46" s="405"/>
    </row>
    <row r="47" spans="1:11" x14ac:dyDescent="0.3">
      <c r="A47" s="363" t="s">
        <v>39</v>
      </c>
      <c r="B47" s="363"/>
      <c r="C47" t="s">
        <v>44</v>
      </c>
      <c r="H47" s="119"/>
      <c r="I47" s="405"/>
      <c r="J47" s="405"/>
      <c r="K47" s="405"/>
    </row>
    <row r="48" spans="1:11" x14ac:dyDescent="0.3">
      <c r="A48" s="363" t="s">
        <v>40</v>
      </c>
      <c r="B48" s="363"/>
      <c r="C48" t="s">
        <v>43</v>
      </c>
      <c r="J48" s="54" t="s">
        <v>48</v>
      </c>
    </row>
  </sheetData>
  <mergeCells count="27">
    <mergeCell ref="J40:K40"/>
    <mergeCell ref="J41:K41"/>
    <mergeCell ref="I45:K47"/>
    <mergeCell ref="B22:G27"/>
    <mergeCell ref="H22:H23"/>
    <mergeCell ref="A38:B38"/>
    <mergeCell ref="C38:G39"/>
    <mergeCell ref="H38:I38"/>
    <mergeCell ref="J38:K38"/>
    <mergeCell ref="J39:K39"/>
    <mergeCell ref="A12:E12"/>
    <mergeCell ref="G12:K12"/>
    <mergeCell ref="A14:E15"/>
    <mergeCell ref="G14:K15"/>
    <mergeCell ref="G17:H17"/>
    <mergeCell ref="A20:A21"/>
    <mergeCell ref="B20:G21"/>
    <mergeCell ref="H20:H21"/>
    <mergeCell ref="I20:I21"/>
    <mergeCell ref="J20:J21"/>
    <mergeCell ref="A1:E10"/>
    <mergeCell ref="G1:K2"/>
    <mergeCell ref="H5:I5"/>
    <mergeCell ref="H6:J6"/>
    <mergeCell ref="H7:I7"/>
    <mergeCell ref="H9:I9"/>
    <mergeCell ref="G10:I10"/>
  </mergeCells>
  <printOptions horizontalCentered="1" verticalCentered="1"/>
  <pageMargins left="0" right="0" top="0" bottom="0" header="0" footer="0"/>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AB537-D026-47D0-80E7-12085FF3DDAF}">
  <sheetPr>
    <pageSetUpPr fitToPage="1"/>
  </sheetPr>
  <dimension ref="A1:K48"/>
  <sheetViews>
    <sheetView showWhiteSpace="0" view="pageBreakPreview" topLeftCell="A19" zoomScale="115" zoomScaleNormal="190" zoomScaleSheetLayoutView="115" zoomScalePageLayoutView="85" workbookViewId="0">
      <selection activeCell="B22" sqref="B22:G27"/>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11.77734375" customWidth="1"/>
    <col min="10" max="10" width="11.33203125" customWidth="1"/>
    <col min="11" max="11" width="11.44140625" customWidth="1"/>
    <col min="12" max="12" width="5.44140625" customWidth="1"/>
  </cols>
  <sheetData>
    <row r="1" spans="1:11" ht="14.25" customHeight="1" x14ac:dyDescent="0.3">
      <c r="A1" s="422"/>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247</v>
      </c>
      <c r="H4" s="171"/>
      <c r="I4" s="372"/>
      <c r="J4" s="9"/>
      <c r="K4" s="10"/>
    </row>
    <row r="5" spans="1:11" ht="14.4" customHeight="1" x14ac:dyDescent="0.3">
      <c r="A5" s="422"/>
      <c r="B5" s="422"/>
      <c r="C5" s="422"/>
      <c r="D5" s="422"/>
      <c r="E5" s="422"/>
      <c r="G5" s="49" t="s">
        <v>2</v>
      </c>
      <c r="H5" s="531">
        <v>46171</v>
      </c>
      <c r="I5" s="531"/>
      <c r="J5" s="2"/>
      <c r="K5" s="4"/>
    </row>
    <row r="6" spans="1:11" ht="14.25" customHeight="1" x14ac:dyDescent="0.3">
      <c r="A6" s="422"/>
      <c r="B6" s="422"/>
      <c r="C6" s="422"/>
      <c r="D6" s="422"/>
      <c r="E6" s="422"/>
      <c r="G6" s="370" t="s">
        <v>23</v>
      </c>
      <c r="H6" s="452">
        <v>55265674100884</v>
      </c>
      <c r="I6" s="452"/>
      <c r="J6" s="452"/>
      <c r="K6" s="10"/>
    </row>
    <row r="7" spans="1:11" ht="14.4" customHeight="1" x14ac:dyDescent="0.3">
      <c r="A7" s="422"/>
      <c r="B7" s="422"/>
      <c r="C7" s="422"/>
      <c r="D7" s="422"/>
      <c r="E7" s="422"/>
      <c r="G7" s="49" t="s">
        <v>2</v>
      </c>
      <c r="H7" s="531">
        <v>46157</v>
      </c>
      <c r="I7" s="531"/>
      <c r="J7" s="2"/>
      <c r="K7" s="4"/>
    </row>
    <row r="8" spans="1:11" ht="14.4" customHeight="1" x14ac:dyDescent="0.3">
      <c r="A8" s="422"/>
      <c r="B8" s="422"/>
      <c r="C8" s="422"/>
      <c r="D8" s="422"/>
      <c r="E8" s="422"/>
      <c r="G8" s="370" t="s">
        <v>248</v>
      </c>
      <c r="H8" s="372"/>
      <c r="I8" s="125"/>
      <c r="J8" s="9"/>
      <c r="K8" s="10"/>
    </row>
    <row r="9" spans="1:11" ht="14.4" customHeight="1" x14ac:dyDescent="0.3">
      <c r="A9" s="422"/>
      <c r="B9" s="422"/>
      <c r="C9" s="422"/>
      <c r="D9" s="422"/>
      <c r="E9" s="422"/>
      <c r="G9" s="49" t="s">
        <v>2</v>
      </c>
      <c r="H9" s="532">
        <v>46171</v>
      </c>
      <c r="I9" s="532"/>
      <c r="J9" s="2"/>
      <c r="K9" s="4"/>
    </row>
    <row r="10" spans="1:11" x14ac:dyDescent="0.3">
      <c r="A10" s="422"/>
      <c r="B10" s="422"/>
      <c r="C10" s="422"/>
      <c r="D10" s="422"/>
      <c r="E10" s="422"/>
      <c r="F10" s="100"/>
      <c r="G10" s="450" t="s">
        <v>268</v>
      </c>
      <c r="H10" s="533"/>
      <c r="I10" s="533"/>
      <c r="J10" s="129" t="s">
        <v>269</v>
      </c>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372"/>
      <c r="D13" s="372"/>
      <c r="E13" s="122"/>
      <c r="G13" s="370"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373"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366"/>
      <c r="D18" s="366"/>
      <c r="E18" s="124"/>
      <c r="G18" s="49" t="s">
        <v>75</v>
      </c>
      <c r="H18" s="2"/>
      <c r="I18" s="366"/>
      <c r="J18" s="2"/>
      <c r="K18" s="4"/>
    </row>
    <row r="20" spans="1:11" x14ac:dyDescent="0.3">
      <c r="A20" s="423" t="s">
        <v>25</v>
      </c>
      <c r="B20" s="467" t="s">
        <v>30</v>
      </c>
      <c r="C20" s="418"/>
      <c r="D20" s="418"/>
      <c r="E20" s="418"/>
      <c r="F20" s="418"/>
      <c r="G20" s="419"/>
      <c r="H20" s="419" t="s">
        <v>29</v>
      </c>
      <c r="I20" s="437" t="s">
        <v>104</v>
      </c>
      <c r="J20" s="499" t="s">
        <v>101</v>
      </c>
      <c r="K20" s="368" t="s">
        <v>26</v>
      </c>
    </row>
    <row r="21" spans="1:11" x14ac:dyDescent="0.3">
      <c r="A21" s="424"/>
      <c r="B21" s="468"/>
      <c r="C21" s="420"/>
      <c r="D21" s="420"/>
      <c r="E21" s="420"/>
      <c r="F21" s="420"/>
      <c r="G21" s="421"/>
      <c r="H21" s="421"/>
      <c r="I21" s="449"/>
      <c r="J21" s="500"/>
      <c r="K21" s="369"/>
    </row>
    <row r="22" spans="1:11" ht="14.4" customHeight="1" x14ac:dyDescent="0.3">
      <c r="A22" s="232">
        <v>1</v>
      </c>
      <c r="B22" s="515" t="s">
        <v>252</v>
      </c>
      <c r="C22" s="516"/>
      <c r="D22" s="516"/>
      <c r="E22" s="516"/>
      <c r="F22" s="516"/>
      <c r="G22" s="517"/>
      <c r="H22" s="382">
        <v>4820</v>
      </c>
      <c r="I22" s="232">
        <v>60000</v>
      </c>
      <c r="J22" s="160">
        <v>1.56</v>
      </c>
      <c r="K22" s="168">
        <f>SUM(J22*I22)</f>
        <v>93600</v>
      </c>
    </row>
    <row r="23" spans="1:11" ht="15.6" x14ac:dyDescent="0.3">
      <c r="A23" s="234"/>
      <c r="B23" s="518"/>
      <c r="C23" s="519"/>
      <c r="D23" s="519"/>
      <c r="E23" s="519"/>
      <c r="F23" s="519"/>
      <c r="G23" s="520"/>
      <c r="H23" s="383"/>
      <c r="I23" s="236"/>
      <c r="J23" s="237"/>
      <c r="K23" s="237"/>
    </row>
    <row r="24" spans="1:11" ht="15.6" x14ac:dyDescent="0.3">
      <c r="A24" s="234"/>
      <c r="B24" s="518"/>
      <c r="C24" s="519"/>
      <c r="D24" s="519"/>
      <c r="E24" s="519"/>
      <c r="F24" s="519"/>
      <c r="G24" s="520"/>
      <c r="H24" s="235"/>
      <c r="I24" s="236"/>
      <c r="J24" s="237"/>
      <c r="K24" s="237"/>
    </row>
    <row r="25" spans="1:11" ht="15.6" x14ac:dyDescent="0.3">
      <c r="A25" s="234"/>
      <c r="B25" s="518"/>
      <c r="C25" s="519"/>
      <c r="D25" s="519"/>
      <c r="E25" s="519"/>
      <c r="F25" s="519"/>
      <c r="G25" s="520"/>
      <c r="H25" s="235"/>
      <c r="I25" s="236"/>
      <c r="J25" s="237"/>
      <c r="K25" s="237"/>
    </row>
    <row r="26" spans="1:11" ht="15.6" x14ac:dyDescent="0.3">
      <c r="A26" s="234"/>
      <c r="B26" s="518"/>
      <c r="C26" s="519"/>
      <c r="D26" s="519"/>
      <c r="E26" s="519"/>
      <c r="F26" s="519"/>
      <c r="G26" s="520"/>
      <c r="H26" s="235"/>
      <c r="I26" s="236"/>
      <c r="J26" s="237"/>
      <c r="K26" s="237"/>
    </row>
    <row r="27" spans="1:11" ht="15.6" x14ac:dyDescent="0.3">
      <c r="A27" s="234"/>
      <c r="B27" s="518"/>
      <c r="C27" s="519"/>
      <c r="D27" s="519"/>
      <c r="E27" s="519"/>
      <c r="F27" s="519"/>
      <c r="G27" s="520"/>
      <c r="H27" s="235"/>
      <c r="I27" s="236"/>
      <c r="J27" s="237"/>
      <c r="K27" s="237"/>
    </row>
    <row r="28" spans="1:11" ht="15.6" x14ac:dyDescent="0.3">
      <c r="A28" s="234"/>
      <c r="B28" s="307"/>
      <c r="C28" s="308"/>
      <c r="D28" s="308"/>
      <c r="E28" s="308"/>
      <c r="F28" s="308"/>
      <c r="G28" s="309"/>
      <c r="H28" s="235"/>
      <c r="I28" s="236"/>
      <c r="J28" s="237"/>
      <c r="K28" s="237"/>
    </row>
    <row r="29" spans="1:11" ht="15.6" x14ac:dyDescent="0.3">
      <c r="A29" s="234"/>
      <c r="B29" s="307"/>
      <c r="C29" s="308"/>
      <c r="D29" s="308"/>
      <c r="E29" s="308"/>
      <c r="F29" s="308"/>
      <c r="G29" s="309"/>
      <c r="H29" s="235"/>
      <c r="I29" s="236"/>
      <c r="J29" s="237"/>
      <c r="K29" s="237"/>
    </row>
    <row r="30" spans="1:11" ht="14.4" customHeight="1" x14ac:dyDescent="0.3">
      <c r="A30" s="238"/>
      <c r="B30" s="307"/>
      <c r="C30" s="308"/>
      <c r="D30" s="308"/>
      <c r="E30" s="308"/>
      <c r="F30" s="308"/>
      <c r="G30" s="309"/>
      <c r="H30" s="239"/>
      <c r="I30" s="237"/>
      <c r="J30" s="237"/>
      <c r="K30" s="237"/>
    </row>
    <row r="31" spans="1:11" ht="14.4" customHeight="1" x14ac:dyDescent="0.3">
      <c r="A31" s="238"/>
      <c r="B31" s="307"/>
      <c r="C31" s="308"/>
      <c r="D31" s="308"/>
      <c r="E31" s="308"/>
      <c r="F31" s="308"/>
      <c r="G31" s="309"/>
      <c r="H31" s="239"/>
      <c r="I31" s="237"/>
      <c r="J31" s="237"/>
      <c r="K31" s="237"/>
    </row>
    <row r="32" spans="1:11" ht="14.4" customHeight="1" x14ac:dyDescent="0.3">
      <c r="A32" s="238"/>
      <c r="B32" s="307"/>
      <c r="C32" s="308"/>
      <c r="D32" s="308"/>
      <c r="E32" s="308"/>
      <c r="F32" s="308"/>
      <c r="G32" s="309"/>
      <c r="H32" s="239"/>
      <c r="I32" s="237"/>
      <c r="J32" s="237"/>
      <c r="K32" s="237"/>
    </row>
    <row r="33" spans="1:11" ht="14.4" customHeight="1" x14ac:dyDescent="0.3">
      <c r="A33" s="136"/>
      <c r="B33" s="307"/>
      <c r="C33" s="308"/>
      <c r="D33" s="308"/>
      <c r="E33" s="308"/>
      <c r="F33" s="308"/>
      <c r="G33" s="309"/>
      <c r="H33" s="216"/>
      <c r="I33" s="212"/>
      <c r="J33" s="212"/>
      <c r="K33" s="212"/>
    </row>
    <row r="34" spans="1:11" x14ac:dyDescent="0.3">
      <c r="A34" s="136"/>
      <c r="B34" s="213"/>
      <c r="C34" s="214"/>
      <c r="D34" s="214"/>
      <c r="E34" s="214"/>
      <c r="F34" s="214"/>
      <c r="G34" s="215"/>
      <c r="H34" s="216"/>
      <c r="I34" s="212"/>
      <c r="J34" s="212"/>
      <c r="K34" s="212"/>
    </row>
    <row r="35" spans="1:11" x14ac:dyDescent="0.3">
      <c r="A35" s="136"/>
      <c r="B35" s="213"/>
      <c r="C35" s="214"/>
      <c r="D35" s="214"/>
      <c r="E35" s="214"/>
      <c r="F35" s="214"/>
      <c r="G35" s="215"/>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477" t="s">
        <v>251</v>
      </c>
      <c r="D38" s="477"/>
      <c r="E38" s="477"/>
      <c r="F38" s="477"/>
      <c r="G38" s="478"/>
      <c r="H38" s="406" t="s">
        <v>31</v>
      </c>
      <c r="I38" s="407"/>
      <c r="J38" s="501">
        <f xml:space="preserve"> +SUM(K22+0)</f>
        <v>93600</v>
      </c>
      <c r="K38" s="502"/>
    </row>
    <row r="39" spans="1:11" x14ac:dyDescent="0.3">
      <c r="A39" s="11"/>
      <c r="B39" s="100"/>
      <c r="C39" s="479"/>
      <c r="D39" s="479"/>
      <c r="E39" s="479"/>
      <c r="F39" s="479"/>
      <c r="G39" s="480"/>
      <c r="H39" s="50" t="s">
        <v>32</v>
      </c>
      <c r="I39" s="38">
        <v>0.09</v>
      </c>
      <c r="J39" s="501">
        <f>K22 * I39</f>
        <v>8424</v>
      </c>
      <c r="K39" s="502"/>
    </row>
    <row r="40" spans="1:11" x14ac:dyDescent="0.3">
      <c r="A40" s="11"/>
      <c r="B40" s="100"/>
      <c r="C40" s="240"/>
      <c r="D40" s="240"/>
      <c r="E40" s="240"/>
      <c r="F40" s="240"/>
      <c r="G40" s="241"/>
      <c r="H40" s="50" t="s">
        <v>33</v>
      </c>
      <c r="I40" s="38">
        <v>0.09</v>
      </c>
      <c r="J40" s="501">
        <f>K22 * I40</f>
        <v>8424</v>
      </c>
      <c r="K40" s="502"/>
    </row>
    <row r="41" spans="1:11" x14ac:dyDescent="0.3">
      <c r="A41" s="5"/>
      <c r="B41" s="2"/>
      <c r="C41" s="218"/>
      <c r="D41" s="218"/>
      <c r="E41" s="218"/>
      <c r="F41" s="218"/>
      <c r="G41" s="223"/>
      <c r="H41" s="49" t="s">
        <v>34</v>
      </c>
      <c r="I41" s="367"/>
      <c r="J41" s="521">
        <f>+SUM(J38+J39+J40)</f>
        <v>110448</v>
      </c>
      <c r="K41" s="522"/>
    </row>
    <row r="42" spans="1:11" x14ac:dyDescent="0.3">
      <c r="J42" s="221"/>
      <c r="K42" s="221"/>
    </row>
    <row r="43" spans="1:11" x14ac:dyDescent="0.3">
      <c r="J43" s="221"/>
      <c r="K43" s="221"/>
    </row>
    <row r="44" spans="1:11" x14ac:dyDescent="0.3">
      <c r="A44" s="371" t="s">
        <v>36</v>
      </c>
      <c r="B44" s="371"/>
    </row>
    <row r="45" spans="1:11" x14ac:dyDescent="0.3">
      <c r="A45" s="371" t="s">
        <v>37</v>
      </c>
      <c r="B45" s="371"/>
      <c r="C45" t="s">
        <v>41</v>
      </c>
      <c r="I45" s="405"/>
      <c r="J45" s="405"/>
      <c r="K45" s="405"/>
    </row>
    <row r="46" spans="1:11" x14ac:dyDescent="0.3">
      <c r="A46" s="371" t="s">
        <v>38</v>
      </c>
      <c r="B46" s="371"/>
      <c r="C46" s="36" t="s">
        <v>42</v>
      </c>
      <c r="H46" s="119"/>
      <c r="I46" s="405"/>
      <c r="J46" s="405"/>
      <c r="K46" s="405"/>
    </row>
    <row r="47" spans="1:11" x14ac:dyDescent="0.3">
      <c r="A47" s="371" t="s">
        <v>39</v>
      </c>
      <c r="B47" s="371"/>
      <c r="C47" t="s">
        <v>44</v>
      </c>
      <c r="H47" s="119"/>
      <c r="I47" s="405"/>
      <c r="J47" s="405"/>
      <c r="K47" s="405"/>
    </row>
    <row r="48" spans="1:11" x14ac:dyDescent="0.3">
      <c r="A48" s="371" t="s">
        <v>40</v>
      </c>
      <c r="B48" s="371"/>
      <c r="C48" t="s">
        <v>43</v>
      </c>
      <c r="J48" s="54" t="s">
        <v>48</v>
      </c>
    </row>
  </sheetData>
  <mergeCells count="26">
    <mergeCell ref="J40:K40"/>
    <mergeCell ref="J41:K41"/>
    <mergeCell ref="I45:K47"/>
    <mergeCell ref="B22:G27"/>
    <mergeCell ref="A38:B38"/>
    <mergeCell ref="C38:G39"/>
    <mergeCell ref="H38:I38"/>
    <mergeCell ref="J38:K38"/>
    <mergeCell ref="J39:K39"/>
    <mergeCell ref="A12:E12"/>
    <mergeCell ref="G12:K12"/>
    <mergeCell ref="A14:E15"/>
    <mergeCell ref="G14:K15"/>
    <mergeCell ref="G17:H17"/>
    <mergeCell ref="A20:A21"/>
    <mergeCell ref="B20:G21"/>
    <mergeCell ref="H20:H21"/>
    <mergeCell ref="I20:I21"/>
    <mergeCell ref="J20:J21"/>
    <mergeCell ref="A1:E10"/>
    <mergeCell ref="G1:K2"/>
    <mergeCell ref="H5:I5"/>
    <mergeCell ref="H6:J6"/>
    <mergeCell ref="H7:I7"/>
    <mergeCell ref="H9:I9"/>
    <mergeCell ref="G10:I10"/>
  </mergeCells>
  <printOptions horizontalCentered="1" verticalCentered="1"/>
  <pageMargins left="0" right="0" top="0" bottom="0" header="0" footer="0"/>
  <pageSetup paperSize="9" orientation="portrait" r:id="rId1"/>
  <rowBreaks count="1" manualBreakCount="1">
    <brk id="21" max="16383" man="1"/>
  </rowBreaks>
  <colBreaks count="1" manualBreakCount="1">
    <brk id="9"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8B88E-4D05-4EFB-82AB-DEA53F207662}">
  <sheetPr>
    <pageSetUpPr fitToPage="1"/>
  </sheetPr>
  <dimension ref="A1:K48"/>
  <sheetViews>
    <sheetView showWhiteSpace="0" view="pageBreakPreview" topLeftCell="A3" zoomScale="115" zoomScaleNormal="190" zoomScaleSheetLayoutView="115" zoomScalePageLayoutView="85" workbookViewId="0">
      <selection activeCell="H5" sqref="H5:I5"/>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11.77734375" customWidth="1"/>
    <col min="10" max="10" width="11.33203125" customWidth="1"/>
    <col min="11" max="11" width="11.44140625" customWidth="1"/>
    <col min="12" max="12" width="5.44140625" customWidth="1"/>
  </cols>
  <sheetData>
    <row r="1" spans="1:11" ht="14.25" customHeight="1" x14ac:dyDescent="0.3">
      <c r="A1" s="422"/>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253</v>
      </c>
      <c r="H4" s="171"/>
      <c r="I4" s="380"/>
      <c r="J4" s="9"/>
      <c r="K4" s="10"/>
    </row>
    <row r="5" spans="1:11" ht="14.4" customHeight="1" x14ac:dyDescent="0.3">
      <c r="A5" s="422"/>
      <c r="B5" s="422"/>
      <c r="C5" s="422"/>
      <c r="D5" s="422"/>
      <c r="E5" s="422"/>
      <c r="G5" s="49" t="s">
        <v>2</v>
      </c>
      <c r="H5" s="531">
        <v>46176</v>
      </c>
      <c r="I5" s="531"/>
      <c r="J5" s="2"/>
      <c r="K5" s="4"/>
    </row>
    <row r="6" spans="1:11" ht="14.25" customHeight="1" x14ac:dyDescent="0.3">
      <c r="A6" s="422"/>
      <c r="B6" s="422"/>
      <c r="C6" s="422"/>
      <c r="D6" s="422"/>
      <c r="E6" s="422"/>
      <c r="G6" s="375" t="s">
        <v>23</v>
      </c>
      <c r="H6" s="452">
        <v>55265835100990</v>
      </c>
      <c r="I6" s="452"/>
      <c r="J6" s="452"/>
      <c r="K6" s="10"/>
    </row>
    <row r="7" spans="1:11" ht="14.4" customHeight="1" x14ac:dyDescent="0.3">
      <c r="A7" s="422"/>
      <c r="B7" s="422"/>
      <c r="C7" s="422"/>
      <c r="D7" s="422"/>
      <c r="E7" s="422"/>
      <c r="G7" s="49" t="s">
        <v>2</v>
      </c>
      <c r="H7" s="531">
        <v>46175</v>
      </c>
      <c r="I7" s="531"/>
      <c r="J7" s="2"/>
      <c r="K7" s="4"/>
    </row>
    <row r="8" spans="1:11" ht="14.4" customHeight="1" x14ac:dyDescent="0.3">
      <c r="A8" s="422"/>
      <c r="B8" s="422"/>
      <c r="C8" s="422"/>
      <c r="D8" s="422"/>
      <c r="E8" s="422"/>
      <c r="G8" s="375" t="s">
        <v>255</v>
      </c>
      <c r="H8" s="380"/>
      <c r="I8" s="125"/>
      <c r="J8" s="9"/>
      <c r="K8" s="10"/>
    </row>
    <row r="9" spans="1:11" ht="14.4" customHeight="1" x14ac:dyDescent="0.3">
      <c r="A9" s="422"/>
      <c r="B9" s="422"/>
      <c r="C9" s="422"/>
      <c r="D9" s="422"/>
      <c r="E9" s="422"/>
      <c r="G9" s="49" t="s">
        <v>2</v>
      </c>
      <c r="H9" s="384" t="s">
        <v>254</v>
      </c>
      <c r="I9" s="384"/>
      <c r="J9" s="2"/>
      <c r="K9" s="4"/>
    </row>
    <row r="10" spans="1:11" x14ac:dyDescent="0.3">
      <c r="A10" s="422"/>
      <c r="B10" s="422"/>
      <c r="C10" s="422"/>
      <c r="D10" s="422"/>
      <c r="E10" s="422"/>
      <c r="F10" s="100"/>
      <c r="G10" s="450" t="s">
        <v>249</v>
      </c>
      <c r="H10" s="533"/>
      <c r="I10" s="533"/>
      <c r="J10" s="129" t="s">
        <v>250</v>
      </c>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380"/>
      <c r="D13" s="380"/>
      <c r="E13" s="122"/>
      <c r="G13" s="375"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381"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378"/>
      <c r="D18" s="378"/>
      <c r="E18" s="124"/>
      <c r="G18" s="49" t="s">
        <v>75</v>
      </c>
      <c r="H18" s="2"/>
      <c r="I18" s="378"/>
      <c r="J18" s="2"/>
      <c r="K18" s="4"/>
    </row>
    <row r="20" spans="1:11" x14ac:dyDescent="0.3">
      <c r="A20" s="423" t="s">
        <v>25</v>
      </c>
      <c r="B20" s="467" t="s">
        <v>30</v>
      </c>
      <c r="C20" s="418"/>
      <c r="D20" s="418"/>
      <c r="E20" s="418"/>
      <c r="F20" s="418"/>
      <c r="G20" s="419"/>
      <c r="H20" s="419" t="s">
        <v>29</v>
      </c>
      <c r="I20" s="437" t="s">
        <v>104</v>
      </c>
      <c r="J20" s="499" t="s">
        <v>101</v>
      </c>
      <c r="K20" s="376" t="s">
        <v>26</v>
      </c>
    </row>
    <row r="21" spans="1:11" x14ac:dyDescent="0.3">
      <c r="A21" s="424"/>
      <c r="B21" s="468"/>
      <c r="C21" s="420"/>
      <c r="D21" s="420"/>
      <c r="E21" s="420"/>
      <c r="F21" s="420"/>
      <c r="G21" s="421"/>
      <c r="H21" s="421"/>
      <c r="I21" s="449"/>
      <c r="J21" s="500"/>
      <c r="K21" s="377"/>
    </row>
    <row r="22" spans="1:11" ht="14.4" customHeight="1" x14ac:dyDescent="0.3">
      <c r="A22" s="232">
        <v>1</v>
      </c>
      <c r="B22" s="515" t="s">
        <v>256</v>
      </c>
      <c r="C22" s="516"/>
      <c r="D22" s="516"/>
      <c r="E22" s="516"/>
      <c r="F22" s="516"/>
      <c r="G22" s="517"/>
      <c r="H22" s="382">
        <v>4820</v>
      </c>
      <c r="I22" s="232">
        <v>23300</v>
      </c>
      <c r="J22" s="160">
        <v>2.2400000000000002</v>
      </c>
      <c r="K22" s="168">
        <f>SUM(J22*I22)</f>
        <v>52192.000000000007</v>
      </c>
    </row>
    <row r="23" spans="1:11" ht="15.6" x14ac:dyDescent="0.3">
      <c r="A23" s="234"/>
      <c r="B23" s="518"/>
      <c r="C23" s="519"/>
      <c r="D23" s="519"/>
      <c r="E23" s="519"/>
      <c r="F23" s="519"/>
      <c r="G23" s="520"/>
      <c r="H23" s="383"/>
      <c r="I23" s="236"/>
      <c r="J23" s="237"/>
      <c r="K23" s="237"/>
    </row>
    <row r="24" spans="1:11" ht="15.6" x14ac:dyDescent="0.3">
      <c r="A24" s="234"/>
      <c r="B24" s="518"/>
      <c r="C24" s="519"/>
      <c r="D24" s="519"/>
      <c r="E24" s="519"/>
      <c r="F24" s="519"/>
      <c r="G24" s="520"/>
      <c r="H24" s="235"/>
      <c r="I24" s="236"/>
      <c r="J24" s="237"/>
      <c r="K24" s="237"/>
    </row>
    <row r="25" spans="1:11" ht="15.6" x14ac:dyDescent="0.3">
      <c r="A25" s="234"/>
      <c r="B25" s="518"/>
      <c r="C25" s="519"/>
      <c r="D25" s="519"/>
      <c r="E25" s="519"/>
      <c r="F25" s="519"/>
      <c r="G25" s="520"/>
      <c r="H25" s="235"/>
      <c r="I25" s="236"/>
      <c r="J25" s="237"/>
      <c r="K25" s="237"/>
    </row>
    <row r="26" spans="1:11" ht="15.6" x14ac:dyDescent="0.3">
      <c r="A26" s="234"/>
      <c r="B26" s="518"/>
      <c r="C26" s="519"/>
      <c r="D26" s="519"/>
      <c r="E26" s="519"/>
      <c r="F26" s="519"/>
      <c r="G26" s="520"/>
      <c r="H26" s="235"/>
      <c r="I26" s="236"/>
      <c r="J26" s="237"/>
      <c r="K26" s="237"/>
    </row>
    <row r="27" spans="1:11" ht="15.6" x14ac:dyDescent="0.3">
      <c r="A27" s="234"/>
      <c r="B27" s="518"/>
      <c r="C27" s="519"/>
      <c r="D27" s="519"/>
      <c r="E27" s="519"/>
      <c r="F27" s="519"/>
      <c r="G27" s="520"/>
      <c r="H27" s="235"/>
      <c r="I27" s="236"/>
      <c r="J27" s="237"/>
      <c r="K27" s="237"/>
    </row>
    <row r="28" spans="1:11" ht="15.6" x14ac:dyDescent="0.3">
      <c r="A28" s="234"/>
      <c r="B28" s="518"/>
      <c r="C28" s="519"/>
      <c r="D28" s="519"/>
      <c r="E28" s="519"/>
      <c r="F28" s="519"/>
      <c r="G28" s="520"/>
      <c r="H28" s="235"/>
      <c r="I28" s="236"/>
      <c r="J28" s="237"/>
      <c r="K28" s="237"/>
    </row>
    <row r="29" spans="1:11" ht="15.6" x14ac:dyDescent="0.3">
      <c r="A29" s="234"/>
      <c r="B29" s="518"/>
      <c r="C29" s="519"/>
      <c r="D29" s="519"/>
      <c r="E29" s="519"/>
      <c r="F29" s="519"/>
      <c r="G29" s="520"/>
      <c r="H29" s="235"/>
      <c r="I29" s="236"/>
      <c r="J29" s="237"/>
      <c r="K29" s="237"/>
    </row>
    <row r="30" spans="1:11" ht="14.4" customHeight="1" x14ac:dyDescent="0.3">
      <c r="A30" s="238"/>
      <c r="B30" s="518"/>
      <c r="C30" s="519"/>
      <c r="D30" s="519"/>
      <c r="E30" s="519"/>
      <c r="F30" s="519"/>
      <c r="G30" s="520"/>
      <c r="H30" s="239"/>
      <c r="I30" s="237"/>
      <c r="J30" s="237"/>
      <c r="K30" s="237"/>
    </row>
    <row r="31" spans="1:11" ht="14.4" customHeight="1" x14ac:dyDescent="0.3">
      <c r="A31" s="238"/>
      <c r="B31" s="518"/>
      <c r="C31" s="519"/>
      <c r="D31" s="519"/>
      <c r="E31" s="519"/>
      <c r="F31" s="519"/>
      <c r="G31" s="520"/>
      <c r="H31" s="239"/>
      <c r="I31" s="237"/>
      <c r="J31" s="237"/>
      <c r="K31" s="237"/>
    </row>
    <row r="32" spans="1:11" ht="14.4" customHeight="1" x14ac:dyDescent="0.3">
      <c r="A32" s="238"/>
      <c r="B32" s="518"/>
      <c r="C32" s="519"/>
      <c r="D32" s="519"/>
      <c r="E32" s="519"/>
      <c r="F32" s="519"/>
      <c r="G32" s="520"/>
      <c r="H32" s="239"/>
      <c r="I32" s="237"/>
      <c r="J32" s="237"/>
      <c r="K32" s="237"/>
    </row>
    <row r="33" spans="1:11" ht="14.4" customHeight="1" x14ac:dyDescent="0.3">
      <c r="A33" s="136"/>
      <c r="B33" s="518"/>
      <c r="C33" s="519"/>
      <c r="D33" s="519"/>
      <c r="E33" s="519"/>
      <c r="F33" s="519"/>
      <c r="G33" s="520"/>
      <c r="H33" s="216"/>
      <c r="I33" s="212"/>
      <c r="J33" s="212"/>
      <c r="K33" s="212"/>
    </row>
    <row r="34" spans="1:11" x14ac:dyDescent="0.3">
      <c r="A34" s="136"/>
      <c r="B34" s="518"/>
      <c r="C34" s="519"/>
      <c r="D34" s="519"/>
      <c r="E34" s="519"/>
      <c r="F34" s="519"/>
      <c r="G34" s="520"/>
      <c r="H34" s="216"/>
      <c r="I34" s="212"/>
      <c r="J34" s="212"/>
      <c r="K34" s="212"/>
    </row>
    <row r="35" spans="1:11" x14ac:dyDescent="0.3">
      <c r="A35" s="136"/>
      <c r="B35" s="518"/>
      <c r="C35" s="519"/>
      <c r="D35" s="519"/>
      <c r="E35" s="519"/>
      <c r="F35" s="519"/>
      <c r="G35" s="520"/>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477" t="s">
        <v>257</v>
      </c>
      <c r="D38" s="477"/>
      <c r="E38" s="477"/>
      <c r="F38" s="477"/>
      <c r="G38" s="478"/>
      <c r="H38" s="406" t="s">
        <v>31</v>
      </c>
      <c r="I38" s="407"/>
      <c r="J38" s="501">
        <f xml:space="preserve"> +SUM(K22+0)</f>
        <v>52192.000000000007</v>
      </c>
      <c r="K38" s="502"/>
    </row>
    <row r="39" spans="1:11" x14ac:dyDescent="0.3">
      <c r="A39" s="11"/>
      <c r="B39" s="100"/>
      <c r="C39" s="479"/>
      <c r="D39" s="479"/>
      <c r="E39" s="479"/>
      <c r="F39" s="479"/>
      <c r="G39" s="480"/>
      <c r="H39" s="50" t="s">
        <v>32</v>
      </c>
      <c r="I39" s="38">
        <v>0.09</v>
      </c>
      <c r="J39" s="501">
        <f>K22 * I39</f>
        <v>4697.2800000000007</v>
      </c>
      <c r="K39" s="502"/>
    </row>
    <row r="40" spans="1:11" x14ac:dyDescent="0.3">
      <c r="A40" s="11"/>
      <c r="B40" s="100"/>
      <c r="C40" s="240"/>
      <c r="D40" s="240"/>
      <c r="E40" s="240"/>
      <c r="F40" s="240"/>
      <c r="G40" s="241"/>
      <c r="H40" s="50" t="s">
        <v>33</v>
      </c>
      <c r="I40" s="38">
        <v>0.09</v>
      </c>
      <c r="J40" s="501">
        <f>K22 * I40</f>
        <v>4697.2800000000007</v>
      </c>
      <c r="K40" s="502"/>
    </row>
    <row r="41" spans="1:11" x14ac:dyDescent="0.3">
      <c r="A41" s="5"/>
      <c r="B41" s="2"/>
      <c r="C41" s="218"/>
      <c r="D41" s="218"/>
      <c r="E41" s="218"/>
      <c r="F41" s="218"/>
      <c r="G41" s="223"/>
      <c r="H41" s="49" t="s">
        <v>34</v>
      </c>
      <c r="I41" s="379"/>
      <c r="J41" s="521">
        <f>+SUM(J38+J39+J40)</f>
        <v>61586.560000000005</v>
      </c>
      <c r="K41" s="522"/>
    </row>
    <row r="42" spans="1:11" x14ac:dyDescent="0.3">
      <c r="J42" s="221"/>
      <c r="K42" s="221"/>
    </row>
    <row r="43" spans="1:11" x14ac:dyDescent="0.3">
      <c r="J43" s="221"/>
      <c r="K43" s="221"/>
    </row>
    <row r="44" spans="1:11" x14ac:dyDescent="0.3">
      <c r="A44" s="374" t="s">
        <v>36</v>
      </c>
      <c r="B44" s="374"/>
    </row>
    <row r="45" spans="1:11" x14ac:dyDescent="0.3">
      <c r="A45" s="374" t="s">
        <v>37</v>
      </c>
      <c r="B45" s="374"/>
      <c r="C45" t="s">
        <v>41</v>
      </c>
      <c r="I45" s="405"/>
      <c r="J45" s="405"/>
      <c r="K45" s="405"/>
    </row>
    <row r="46" spans="1:11" x14ac:dyDescent="0.3">
      <c r="A46" s="374" t="s">
        <v>38</v>
      </c>
      <c r="B46" s="374"/>
      <c r="C46" s="36" t="s">
        <v>42</v>
      </c>
      <c r="H46" s="119"/>
      <c r="I46" s="405"/>
      <c r="J46" s="405"/>
      <c r="K46" s="405"/>
    </row>
    <row r="47" spans="1:11" x14ac:dyDescent="0.3">
      <c r="A47" s="374" t="s">
        <v>39</v>
      </c>
      <c r="B47" s="374"/>
      <c r="C47" t="s">
        <v>44</v>
      </c>
      <c r="H47" s="119"/>
      <c r="I47" s="405"/>
      <c r="J47" s="405"/>
      <c r="K47" s="405"/>
    </row>
    <row r="48" spans="1:11" x14ac:dyDescent="0.3">
      <c r="A48" s="374" t="s">
        <v>40</v>
      </c>
      <c r="B48" s="374"/>
      <c r="C48" t="s">
        <v>43</v>
      </c>
      <c r="J48" s="54" t="s">
        <v>48</v>
      </c>
    </row>
  </sheetData>
  <mergeCells count="25">
    <mergeCell ref="A1:E10"/>
    <mergeCell ref="G1:K2"/>
    <mergeCell ref="H6:J6"/>
    <mergeCell ref="H7:I7"/>
    <mergeCell ref="G10:I10"/>
    <mergeCell ref="H5:I5"/>
    <mergeCell ref="A20:A21"/>
    <mergeCell ref="B20:G21"/>
    <mergeCell ref="H20:H21"/>
    <mergeCell ref="I20:I21"/>
    <mergeCell ref="J20:J21"/>
    <mergeCell ref="A12:E12"/>
    <mergeCell ref="G12:K12"/>
    <mergeCell ref="A14:E15"/>
    <mergeCell ref="G14:K15"/>
    <mergeCell ref="G17:H17"/>
    <mergeCell ref="J40:K40"/>
    <mergeCell ref="J41:K41"/>
    <mergeCell ref="I45:K47"/>
    <mergeCell ref="B22:G35"/>
    <mergeCell ref="A38:B38"/>
    <mergeCell ref="C38:G39"/>
    <mergeCell ref="H38:I38"/>
    <mergeCell ref="J38:K38"/>
    <mergeCell ref="J39:K39"/>
  </mergeCells>
  <printOptions horizontalCentered="1" verticalCentered="1"/>
  <pageMargins left="0" right="0" top="0" bottom="0" header="0" footer="0"/>
  <pageSetup paperSize="9" orientation="portrait" r:id="rId1"/>
  <rowBreaks count="1" manualBreakCount="1">
    <brk id="21" max="16383" man="1"/>
  </rowBreaks>
  <colBreaks count="1" manualBreakCount="1">
    <brk id="9" max="1048575"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436D6-E6F3-49BC-AFB8-E8EAD9C91E2B}">
  <sheetPr>
    <pageSetUpPr fitToPage="1"/>
  </sheetPr>
  <dimension ref="A1:K48"/>
  <sheetViews>
    <sheetView showWhiteSpace="0" view="pageBreakPreview" topLeftCell="A10" zoomScale="130" zoomScaleNormal="190" zoomScaleSheetLayoutView="130" zoomScalePageLayoutView="85" workbookViewId="0">
      <selection activeCell="B22" sqref="B22:G35"/>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11.77734375" customWidth="1"/>
    <col min="10" max="10" width="11.33203125" customWidth="1"/>
    <col min="11" max="11" width="11.44140625" customWidth="1"/>
    <col min="12" max="12" width="5.44140625" customWidth="1"/>
  </cols>
  <sheetData>
    <row r="1" spans="1:11" ht="14.25" customHeight="1" x14ac:dyDescent="0.3">
      <c r="A1" s="422"/>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261</v>
      </c>
      <c r="H4" s="171"/>
      <c r="I4" s="380"/>
      <c r="J4" s="9"/>
      <c r="K4" s="10"/>
    </row>
    <row r="5" spans="1:11" ht="14.4" customHeight="1" x14ac:dyDescent="0.3">
      <c r="A5" s="422"/>
      <c r="B5" s="422"/>
      <c r="C5" s="422"/>
      <c r="D5" s="422"/>
      <c r="E5" s="422"/>
      <c r="G5" s="49" t="s">
        <v>2</v>
      </c>
      <c r="H5" s="531">
        <v>46176</v>
      </c>
      <c r="I5" s="531"/>
      <c r="J5" s="2"/>
      <c r="K5" s="4"/>
    </row>
    <row r="6" spans="1:11" ht="14.25" customHeight="1" x14ac:dyDescent="0.3">
      <c r="A6" s="422"/>
      <c r="B6" s="422"/>
      <c r="C6" s="422"/>
      <c r="D6" s="422"/>
      <c r="E6" s="422"/>
      <c r="G6" s="375" t="s">
        <v>23</v>
      </c>
      <c r="H6" s="452">
        <v>55265851100997</v>
      </c>
      <c r="I6" s="452"/>
      <c r="J6" s="452"/>
      <c r="K6" s="10"/>
    </row>
    <row r="7" spans="1:11" ht="14.4" customHeight="1" x14ac:dyDescent="0.3">
      <c r="A7" s="422"/>
      <c r="B7" s="422"/>
      <c r="C7" s="422"/>
      <c r="D7" s="422"/>
      <c r="E7" s="422"/>
      <c r="G7" s="49" t="s">
        <v>2</v>
      </c>
      <c r="H7" s="531">
        <v>46175</v>
      </c>
      <c r="I7" s="531"/>
      <c r="J7" s="2"/>
      <c r="K7" s="4"/>
    </row>
    <row r="8" spans="1:11" ht="14.4" customHeight="1" x14ac:dyDescent="0.3">
      <c r="A8" s="422"/>
      <c r="B8" s="422"/>
      <c r="C8" s="422"/>
      <c r="D8" s="422"/>
      <c r="E8" s="422"/>
      <c r="G8" s="375" t="s">
        <v>260</v>
      </c>
      <c r="H8" s="380"/>
      <c r="I8" s="125"/>
      <c r="J8" s="9"/>
      <c r="K8" s="10"/>
    </row>
    <row r="9" spans="1:11" ht="14.4" customHeight="1" x14ac:dyDescent="0.3">
      <c r="A9" s="422"/>
      <c r="B9" s="422"/>
      <c r="C9" s="422"/>
      <c r="D9" s="422"/>
      <c r="E9" s="422"/>
      <c r="G9" s="49" t="s">
        <v>2</v>
      </c>
      <c r="H9" s="384" t="s">
        <v>254</v>
      </c>
      <c r="I9" s="384"/>
      <c r="J9" s="2"/>
      <c r="K9" s="4"/>
    </row>
    <row r="10" spans="1:11" x14ac:dyDescent="0.3">
      <c r="A10" s="422"/>
      <c r="B10" s="422"/>
      <c r="C10" s="422"/>
      <c r="D10" s="422"/>
      <c r="E10" s="422"/>
      <c r="F10" s="100"/>
      <c r="G10" s="450" t="s">
        <v>266</v>
      </c>
      <c r="H10" s="533"/>
      <c r="I10" s="533"/>
      <c r="J10" s="129" t="s">
        <v>267</v>
      </c>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380"/>
      <c r="D13" s="380"/>
      <c r="E13" s="122"/>
      <c r="G13" s="375"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381"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378"/>
      <c r="D18" s="378"/>
      <c r="E18" s="124"/>
      <c r="G18" s="49" t="s">
        <v>75</v>
      </c>
      <c r="H18" s="2"/>
      <c r="I18" s="378"/>
      <c r="J18" s="2"/>
      <c r="K18" s="4"/>
    </row>
    <row r="20" spans="1:11" x14ac:dyDescent="0.3">
      <c r="A20" s="423" t="s">
        <v>25</v>
      </c>
      <c r="B20" s="467" t="s">
        <v>30</v>
      </c>
      <c r="C20" s="418"/>
      <c r="D20" s="418"/>
      <c r="E20" s="418"/>
      <c r="F20" s="418"/>
      <c r="G20" s="419"/>
      <c r="H20" s="419" t="s">
        <v>29</v>
      </c>
      <c r="I20" s="437" t="s">
        <v>60</v>
      </c>
      <c r="J20" s="499" t="s">
        <v>101</v>
      </c>
      <c r="K20" s="376" t="s">
        <v>26</v>
      </c>
    </row>
    <row r="21" spans="1:11" x14ac:dyDescent="0.3">
      <c r="A21" s="424"/>
      <c r="B21" s="468"/>
      <c r="C21" s="420"/>
      <c r="D21" s="420"/>
      <c r="E21" s="420"/>
      <c r="F21" s="420"/>
      <c r="G21" s="421"/>
      <c r="H21" s="421"/>
      <c r="I21" s="449"/>
      <c r="J21" s="500"/>
      <c r="K21" s="377"/>
    </row>
    <row r="22" spans="1:11" ht="14.4" customHeight="1" x14ac:dyDescent="0.3">
      <c r="A22" s="232">
        <v>1</v>
      </c>
      <c r="B22" s="515" t="s">
        <v>259</v>
      </c>
      <c r="C22" s="516"/>
      <c r="D22" s="516"/>
      <c r="E22" s="516"/>
      <c r="F22" s="516"/>
      <c r="G22" s="517"/>
      <c r="H22" s="382">
        <v>4820</v>
      </c>
      <c r="I22" s="232">
        <v>1</v>
      </c>
      <c r="J22" s="160">
        <v>29350</v>
      </c>
      <c r="K22" s="168">
        <f>SUM(J22*I22)</f>
        <v>29350</v>
      </c>
    </row>
    <row r="23" spans="1:11" ht="15.6" x14ac:dyDescent="0.3">
      <c r="A23" s="234"/>
      <c r="B23" s="518"/>
      <c r="C23" s="519"/>
      <c r="D23" s="519"/>
      <c r="E23" s="519"/>
      <c r="F23" s="519"/>
      <c r="G23" s="520"/>
      <c r="H23" s="383"/>
      <c r="I23" s="236"/>
      <c r="J23" s="237"/>
      <c r="K23" s="237"/>
    </row>
    <row r="24" spans="1:11" ht="15.6" x14ac:dyDescent="0.3">
      <c r="A24" s="234"/>
      <c r="B24" s="518"/>
      <c r="C24" s="519"/>
      <c r="D24" s="519"/>
      <c r="E24" s="519"/>
      <c r="F24" s="519"/>
      <c r="G24" s="520"/>
      <c r="H24" s="235"/>
      <c r="I24" s="236"/>
      <c r="J24" s="237"/>
      <c r="K24" s="237"/>
    </row>
    <row r="25" spans="1:11" ht="15.6" x14ac:dyDescent="0.3">
      <c r="A25" s="234"/>
      <c r="B25" s="518"/>
      <c r="C25" s="519"/>
      <c r="D25" s="519"/>
      <c r="E25" s="519"/>
      <c r="F25" s="519"/>
      <c r="G25" s="520"/>
      <c r="H25" s="235"/>
      <c r="I25" s="236"/>
      <c r="J25" s="237"/>
      <c r="K25" s="237"/>
    </row>
    <row r="26" spans="1:11" ht="15.6" x14ac:dyDescent="0.3">
      <c r="A26" s="234"/>
      <c r="B26" s="518"/>
      <c r="C26" s="519"/>
      <c r="D26" s="519"/>
      <c r="E26" s="519"/>
      <c r="F26" s="519"/>
      <c r="G26" s="520"/>
      <c r="H26" s="235"/>
      <c r="I26" s="236"/>
      <c r="J26" s="237"/>
      <c r="K26" s="237"/>
    </row>
    <row r="27" spans="1:11" ht="15.6" x14ac:dyDescent="0.3">
      <c r="A27" s="234"/>
      <c r="B27" s="518"/>
      <c r="C27" s="519"/>
      <c r="D27" s="519"/>
      <c r="E27" s="519"/>
      <c r="F27" s="519"/>
      <c r="G27" s="520"/>
      <c r="H27" s="235"/>
      <c r="I27" s="236"/>
      <c r="J27" s="237"/>
      <c r="K27" s="237"/>
    </row>
    <row r="28" spans="1:11" ht="15.6" x14ac:dyDescent="0.3">
      <c r="A28" s="234"/>
      <c r="B28" s="518"/>
      <c r="C28" s="519"/>
      <c r="D28" s="519"/>
      <c r="E28" s="519"/>
      <c r="F28" s="519"/>
      <c r="G28" s="520"/>
      <c r="H28" s="235"/>
      <c r="I28" s="236"/>
      <c r="J28" s="237"/>
      <c r="K28" s="237"/>
    </row>
    <row r="29" spans="1:11" ht="15.6" x14ac:dyDescent="0.3">
      <c r="A29" s="234"/>
      <c r="B29" s="518"/>
      <c r="C29" s="519"/>
      <c r="D29" s="519"/>
      <c r="E29" s="519"/>
      <c r="F29" s="519"/>
      <c r="G29" s="520"/>
      <c r="H29" s="235"/>
      <c r="I29" s="236"/>
      <c r="J29" s="237"/>
      <c r="K29" s="237"/>
    </row>
    <row r="30" spans="1:11" ht="14.4" customHeight="1" x14ac:dyDescent="0.3">
      <c r="A30" s="238"/>
      <c r="B30" s="518"/>
      <c r="C30" s="519"/>
      <c r="D30" s="519"/>
      <c r="E30" s="519"/>
      <c r="F30" s="519"/>
      <c r="G30" s="520"/>
      <c r="H30" s="239"/>
      <c r="I30" s="237"/>
      <c r="J30" s="237"/>
      <c r="K30" s="237"/>
    </row>
    <row r="31" spans="1:11" ht="14.4" customHeight="1" x14ac:dyDescent="0.3">
      <c r="A31" s="238"/>
      <c r="B31" s="518"/>
      <c r="C31" s="519"/>
      <c r="D31" s="519"/>
      <c r="E31" s="519"/>
      <c r="F31" s="519"/>
      <c r="G31" s="520"/>
      <c r="H31" s="239"/>
      <c r="I31" s="237"/>
      <c r="J31" s="237"/>
      <c r="K31" s="237"/>
    </row>
    <row r="32" spans="1:11" ht="14.4" customHeight="1" x14ac:dyDescent="0.3">
      <c r="A32" s="238"/>
      <c r="B32" s="518"/>
      <c r="C32" s="519"/>
      <c r="D32" s="519"/>
      <c r="E32" s="519"/>
      <c r="F32" s="519"/>
      <c r="G32" s="520"/>
      <c r="H32" s="239"/>
      <c r="I32" s="237"/>
      <c r="J32" s="237"/>
      <c r="K32" s="237"/>
    </row>
    <row r="33" spans="1:11" ht="14.4" customHeight="1" x14ac:dyDescent="0.3">
      <c r="A33" s="136"/>
      <c r="B33" s="518"/>
      <c r="C33" s="519"/>
      <c r="D33" s="519"/>
      <c r="E33" s="519"/>
      <c r="F33" s="519"/>
      <c r="G33" s="520"/>
      <c r="H33" s="216"/>
      <c r="I33" s="212"/>
      <c r="J33" s="212"/>
      <c r="K33" s="212"/>
    </row>
    <row r="34" spans="1:11" x14ac:dyDescent="0.3">
      <c r="A34" s="136"/>
      <c r="B34" s="518"/>
      <c r="C34" s="519"/>
      <c r="D34" s="519"/>
      <c r="E34" s="519"/>
      <c r="F34" s="519"/>
      <c r="G34" s="520"/>
      <c r="H34" s="216"/>
      <c r="I34" s="212"/>
      <c r="J34" s="212"/>
      <c r="K34" s="212"/>
    </row>
    <row r="35" spans="1:11" x14ac:dyDescent="0.3">
      <c r="A35" s="136"/>
      <c r="B35" s="518"/>
      <c r="C35" s="519"/>
      <c r="D35" s="519"/>
      <c r="E35" s="519"/>
      <c r="F35" s="519"/>
      <c r="G35" s="520"/>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477" t="s">
        <v>258</v>
      </c>
      <c r="D38" s="477"/>
      <c r="E38" s="477"/>
      <c r="F38" s="477"/>
      <c r="G38" s="478"/>
      <c r="H38" s="406" t="s">
        <v>31</v>
      </c>
      <c r="I38" s="407"/>
      <c r="J38" s="501">
        <f xml:space="preserve"> +SUM(K22+0)</f>
        <v>29350</v>
      </c>
      <c r="K38" s="502"/>
    </row>
    <row r="39" spans="1:11" x14ac:dyDescent="0.3">
      <c r="A39" s="11"/>
      <c r="B39" s="100"/>
      <c r="C39" s="479"/>
      <c r="D39" s="479"/>
      <c r="E39" s="479"/>
      <c r="F39" s="479"/>
      <c r="G39" s="480"/>
      <c r="H39" s="50" t="s">
        <v>32</v>
      </c>
      <c r="I39" s="38">
        <v>0.09</v>
      </c>
      <c r="J39" s="501">
        <f>K22 * I39</f>
        <v>2641.5</v>
      </c>
      <c r="K39" s="502"/>
    </row>
    <row r="40" spans="1:11" x14ac:dyDescent="0.3">
      <c r="A40" s="11"/>
      <c r="B40" s="100"/>
      <c r="C40" s="240"/>
      <c r="D40" s="240"/>
      <c r="E40" s="240"/>
      <c r="F40" s="240"/>
      <c r="G40" s="241"/>
      <c r="H40" s="50" t="s">
        <v>33</v>
      </c>
      <c r="I40" s="38">
        <v>0.09</v>
      </c>
      <c r="J40" s="501">
        <f>K22 * I40</f>
        <v>2641.5</v>
      </c>
      <c r="K40" s="502"/>
    </row>
    <row r="41" spans="1:11" x14ac:dyDescent="0.3">
      <c r="A41" s="5"/>
      <c r="B41" s="2"/>
      <c r="C41" s="218"/>
      <c r="D41" s="218"/>
      <c r="E41" s="218"/>
      <c r="F41" s="218"/>
      <c r="G41" s="223"/>
      <c r="H41" s="49" t="s">
        <v>34</v>
      </c>
      <c r="I41" s="379"/>
      <c r="J41" s="521">
        <f>+SUM(J38+J39+J40)</f>
        <v>34633</v>
      </c>
      <c r="K41" s="522"/>
    </row>
    <row r="42" spans="1:11" x14ac:dyDescent="0.3">
      <c r="J42" s="221"/>
      <c r="K42" s="221"/>
    </row>
    <row r="43" spans="1:11" x14ac:dyDescent="0.3">
      <c r="J43" s="221"/>
      <c r="K43" s="221"/>
    </row>
    <row r="44" spans="1:11" x14ac:dyDescent="0.3">
      <c r="A44" s="374" t="s">
        <v>36</v>
      </c>
      <c r="B44" s="374"/>
    </row>
    <row r="45" spans="1:11" x14ac:dyDescent="0.3">
      <c r="A45" s="374" t="s">
        <v>37</v>
      </c>
      <c r="B45" s="374"/>
      <c r="C45" t="s">
        <v>41</v>
      </c>
      <c r="I45" s="405"/>
      <c r="J45" s="405"/>
      <c r="K45" s="405"/>
    </row>
    <row r="46" spans="1:11" x14ac:dyDescent="0.3">
      <c r="A46" s="374" t="s">
        <v>38</v>
      </c>
      <c r="B46" s="374"/>
      <c r="C46" s="36" t="s">
        <v>42</v>
      </c>
      <c r="H46" s="119"/>
      <c r="I46" s="405"/>
      <c r="J46" s="405"/>
      <c r="K46" s="405"/>
    </row>
    <row r="47" spans="1:11" x14ac:dyDescent="0.3">
      <c r="A47" s="374" t="s">
        <v>39</v>
      </c>
      <c r="B47" s="374"/>
      <c r="C47" t="s">
        <v>44</v>
      </c>
      <c r="H47" s="119"/>
      <c r="I47" s="405"/>
      <c r="J47" s="405"/>
      <c r="K47" s="405"/>
    </row>
    <row r="48" spans="1:11" x14ac:dyDescent="0.3">
      <c r="A48" s="374" t="s">
        <v>40</v>
      </c>
      <c r="B48" s="374"/>
      <c r="C48" t="s">
        <v>43</v>
      </c>
      <c r="J48" s="54" t="s">
        <v>48</v>
      </c>
    </row>
  </sheetData>
  <mergeCells count="25">
    <mergeCell ref="A12:E12"/>
    <mergeCell ref="G12:K12"/>
    <mergeCell ref="H5:I5"/>
    <mergeCell ref="A1:E10"/>
    <mergeCell ref="G1:K2"/>
    <mergeCell ref="H6:J6"/>
    <mergeCell ref="H7:I7"/>
    <mergeCell ref="G10:I10"/>
    <mergeCell ref="A14:E15"/>
    <mergeCell ref="G14:K15"/>
    <mergeCell ref="G17:H17"/>
    <mergeCell ref="A20:A21"/>
    <mergeCell ref="B20:G21"/>
    <mergeCell ref="H20:H21"/>
    <mergeCell ref="I20:I21"/>
    <mergeCell ref="J20:J21"/>
    <mergeCell ref="J40:K40"/>
    <mergeCell ref="J41:K41"/>
    <mergeCell ref="I45:K47"/>
    <mergeCell ref="B22:G35"/>
    <mergeCell ref="A38:B38"/>
    <mergeCell ref="C38:G39"/>
    <mergeCell ref="H38:I38"/>
    <mergeCell ref="J38:K38"/>
    <mergeCell ref="J39:K39"/>
  </mergeCells>
  <printOptions horizontalCentered="1" verticalCentered="1"/>
  <pageMargins left="0" right="0" top="0" bottom="0" header="0" footer="0"/>
  <pageSetup paperSize="9" orientation="portrait" r:id="rId1"/>
  <rowBreaks count="1" manualBreakCount="1">
    <brk id="21" max="16383" man="1"/>
  </rowBreaks>
  <colBreaks count="1" manualBreakCount="1">
    <brk id="9"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20217-CFAF-42A7-B6B4-A7C5F3FDE9BD}">
  <sheetPr>
    <pageSetUpPr fitToPage="1"/>
  </sheetPr>
  <dimension ref="A1:K48"/>
  <sheetViews>
    <sheetView showWhiteSpace="0" view="pageBreakPreview" topLeftCell="A25" zoomScale="115" zoomScaleNormal="190" zoomScaleSheetLayoutView="115" zoomScalePageLayoutView="85" workbookViewId="0">
      <selection activeCell="B22" sqref="B22:G35"/>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11.77734375" customWidth="1"/>
    <col min="10" max="10" width="11.33203125" customWidth="1"/>
    <col min="11" max="11" width="11.44140625" customWidth="1"/>
    <col min="12" max="12" width="5.44140625" customWidth="1"/>
  </cols>
  <sheetData>
    <row r="1" spans="1:11" ht="14.25" customHeight="1" x14ac:dyDescent="0.3">
      <c r="A1" s="422"/>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262</v>
      </c>
      <c r="H4" s="171"/>
      <c r="I4" s="391"/>
      <c r="J4" s="9"/>
      <c r="K4" s="10"/>
    </row>
    <row r="5" spans="1:11" ht="14.4" customHeight="1" x14ac:dyDescent="0.3">
      <c r="A5" s="422"/>
      <c r="B5" s="422"/>
      <c r="C5" s="422"/>
      <c r="D5" s="422"/>
      <c r="E5" s="422"/>
      <c r="G5" s="49" t="s">
        <v>2</v>
      </c>
      <c r="H5" s="531">
        <v>46181</v>
      </c>
      <c r="I5" s="531"/>
      <c r="J5" s="2"/>
      <c r="K5" s="4"/>
    </row>
    <row r="6" spans="1:11" ht="14.25" customHeight="1" x14ac:dyDescent="0.3">
      <c r="A6" s="422"/>
      <c r="B6" s="422"/>
      <c r="C6" s="422"/>
      <c r="D6" s="422"/>
      <c r="E6" s="422"/>
      <c r="G6" s="386" t="s">
        <v>23</v>
      </c>
      <c r="H6" s="452">
        <v>55265818100996</v>
      </c>
      <c r="I6" s="452"/>
      <c r="J6" s="452"/>
      <c r="K6" s="10"/>
    </row>
    <row r="7" spans="1:11" ht="14.4" customHeight="1" x14ac:dyDescent="0.3">
      <c r="A7" s="422"/>
      <c r="B7" s="422"/>
      <c r="C7" s="422"/>
      <c r="D7" s="422"/>
      <c r="E7" s="422"/>
      <c r="G7" s="49" t="s">
        <v>2</v>
      </c>
      <c r="H7" s="531">
        <v>46175</v>
      </c>
      <c r="I7" s="531"/>
      <c r="J7" s="2"/>
      <c r="K7" s="4"/>
    </row>
    <row r="8" spans="1:11" ht="14.4" customHeight="1" x14ac:dyDescent="0.3">
      <c r="A8" s="422"/>
      <c r="B8" s="422"/>
      <c r="C8" s="422"/>
      <c r="D8" s="422"/>
      <c r="E8" s="422"/>
      <c r="G8" s="386" t="s">
        <v>263</v>
      </c>
      <c r="H8" s="391"/>
      <c r="I8" s="125"/>
      <c r="J8" s="9"/>
      <c r="K8" s="10"/>
    </row>
    <row r="9" spans="1:11" ht="14.4" customHeight="1" x14ac:dyDescent="0.3">
      <c r="A9" s="422"/>
      <c r="B9" s="422"/>
      <c r="C9" s="422"/>
      <c r="D9" s="422"/>
      <c r="E9" s="422"/>
      <c r="G9" s="49" t="s">
        <v>2</v>
      </c>
      <c r="H9" s="531">
        <v>46181</v>
      </c>
      <c r="I9" s="531"/>
      <c r="J9" s="2"/>
      <c r="K9" s="4"/>
    </row>
    <row r="10" spans="1:11" x14ac:dyDescent="0.3">
      <c r="A10" s="422"/>
      <c r="B10" s="422"/>
      <c r="C10" s="422"/>
      <c r="D10" s="422"/>
      <c r="E10" s="422"/>
      <c r="F10" s="100"/>
      <c r="G10" s="450" t="s">
        <v>270</v>
      </c>
      <c r="H10" s="533"/>
      <c r="I10" s="533"/>
      <c r="J10" s="129" t="s">
        <v>271</v>
      </c>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391"/>
      <c r="D13" s="391"/>
      <c r="E13" s="122"/>
      <c r="G13" s="386"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392"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389"/>
      <c r="D18" s="389"/>
      <c r="E18" s="124"/>
      <c r="G18" s="49" t="s">
        <v>75</v>
      </c>
      <c r="H18" s="2"/>
      <c r="I18" s="389"/>
      <c r="J18" s="2"/>
      <c r="K18" s="4"/>
    </row>
    <row r="20" spans="1:11" x14ac:dyDescent="0.3">
      <c r="A20" s="423" t="s">
        <v>25</v>
      </c>
      <c r="B20" s="467" t="s">
        <v>30</v>
      </c>
      <c r="C20" s="418"/>
      <c r="D20" s="418"/>
      <c r="E20" s="418"/>
      <c r="F20" s="418"/>
      <c r="G20" s="419"/>
      <c r="H20" s="419" t="s">
        <v>29</v>
      </c>
      <c r="I20" s="437" t="s">
        <v>104</v>
      </c>
      <c r="J20" s="499" t="s">
        <v>101</v>
      </c>
      <c r="K20" s="387" t="s">
        <v>26</v>
      </c>
    </row>
    <row r="21" spans="1:11" x14ac:dyDescent="0.3">
      <c r="A21" s="424"/>
      <c r="B21" s="468"/>
      <c r="C21" s="420"/>
      <c r="D21" s="420"/>
      <c r="E21" s="420"/>
      <c r="F21" s="420"/>
      <c r="G21" s="421"/>
      <c r="H21" s="421"/>
      <c r="I21" s="449"/>
      <c r="J21" s="500"/>
      <c r="K21" s="388"/>
    </row>
    <row r="22" spans="1:11" ht="14.4" customHeight="1" x14ac:dyDescent="0.3">
      <c r="A22" s="232">
        <v>1</v>
      </c>
      <c r="B22" s="515" t="s">
        <v>264</v>
      </c>
      <c r="C22" s="516"/>
      <c r="D22" s="516"/>
      <c r="E22" s="516"/>
      <c r="F22" s="516"/>
      <c r="G22" s="517"/>
      <c r="H22" s="382">
        <v>8536</v>
      </c>
      <c r="I22" s="232">
        <v>800</v>
      </c>
      <c r="J22" s="160">
        <v>178</v>
      </c>
      <c r="K22" s="168">
        <f>SUM(J22*I22)</f>
        <v>142400</v>
      </c>
    </row>
    <row r="23" spans="1:11" ht="15.6" x14ac:dyDescent="0.3">
      <c r="A23" s="234"/>
      <c r="B23" s="518"/>
      <c r="C23" s="519"/>
      <c r="D23" s="519"/>
      <c r="E23" s="519"/>
      <c r="F23" s="519"/>
      <c r="G23" s="520"/>
      <c r="H23" s="383"/>
      <c r="I23" s="236"/>
      <c r="J23" s="237"/>
      <c r="K23" s="237"/>
    </row>
    <row r="24" spans="1:11" ht="15.6" x14ac:dyDescent="0.3">
      <c r="A24" s="234"/>
      <c r="B24" s="518"/>
      <c r="C24" s="519"/>
      <c r="D24" s="519"/>
      <c r="E24" s="519"/>
      <c r="F24" s="519"/>
      <c r="G24" s="520"/>
      <c r="H24" s="235"/>
      <c r="I24" s="236"/>
      <c r="J24" s="237"/>
      <c r="K24" s="237"/>
    </row>
    <row r="25" spans="1:11" ht="15.6" x14ac:dyDescent="0.3">
      <c r="A25" s="234"/>
      <c r="B25" s="518"/>
      <c r="C25" s="519"/>
      <c r="D25" s="519"/>
      <c r="E25" s="519"/>
      <c r="F25" s="519"/>
      <c r="G25" s="520"/>
      <c r="H25" s="235"/>
      <c r="I25" s="236"/>
      <c r="J25" s="237"/>
      <c r="K25" s="237"/>
    </row>
    <row r="26" spans="1:11" ht="15.6" x14ac:dyDescent="0.3">
      <c r="A26" s="234"/>
      <c r="B26" s="518"/>
      <c r="C26" s="519"/>
      <c r="D26" s="519"/>
      <c r="E26" s="519"/>
      <c r="F26" s="519"/>
      <c r="G26" s="520"/>
      <c r="H26" s="235"/>
      <c r="I26" s="236"/>
      <c r="J26" s="237"/>
      <c r="K26" s="237"/>
    </row>
    <row r="27" spans="1:11" ht="15.6" x14ac:dyDescent="0.3">
      <c r="A27" s="234"/>
      <c r="B27" s="518"/>
      <c r="C27" s="519"/>
      <c r="D27" s="519"/>
      <c r="E27" s="519"/>
      <c r="F27" s="519"/>
      <c r="G27" s="520"/>
      <c r="H27" s="235"/>
      <c r="I27" s="236"/>
      <c r="J27" s="237"/>
      <c r="K27" s="237"/>
    </row>
    <row r="28" spans="1:11" ht="15.6" x14ac:dyDescent="0.3">
      <c r="A28" s="234"/>
      <c r="B28" s="518"/>
      <c r="C28" s="519"/>
      <c r="D28" s="519"/>
      <c r="E28" s="519"/>
      <c r="F28" s="519"/>
      <c r="G28" s="520"/>
      <c r="H28" s="235"/>
      <c r="I28" s="236"/>
      <c r="J28" s="237"/>
      <c r="K28" s="237"/>
    </row>
    <row r="29" spans="1:11" ht="15.6" x14ac:dyDescent="0.3">
      <c r="A29" s="234"/>
      <c r="B29" s="518"/>
      <c r="C29" s="519"/>
      <c r="D29" s="519"/>
      <c r="E29" s="519"/>
      <c r="F29" s="519"/>
      <c r="G29" s="520"/>
      <c r="H29" s="235"/>
      <c r="I29" s="236"/>
      <c r="J29" s="237"/>
      <c r="K29" s="237"/>
    </row>
    <row r="30" spans="1:11" ht="14.4" customHeight="1" x14ac:dyDescent="0.3">
      <c r="A30" s="238"/>
      <c r="B30" s="518"/>
      <c r="C30" s="519"/>
      <c r="D30" s="519"/>
      <c r="E30" s="519"/>
      <c r="F30" s="519"/>
      <c r="G30" s="520"/>
      <c r="H30" s="239"/>
      <c r="I30" s="237"/>
      <c r="J30" s="237"/>
      <c r="K30" s="237"/>
    </row>
    <row r="31" spans="1:11" ht="14.4" customHeight="1" x14ac:dyDescent="0.3">
      <c r="A31" s="238"/>
      <c r="B31" s="518"/>
      <c r="C31" s="519"/>
      <c r="D31" s="519"/>
      <c r="E31" s="519"/>
      <c r="F31" s="519"/>
      <c r="G31" s="520"/>
      <c r="H31" s="239"/>
      <c r="I31" s="237"/>
      <c r="J31" s="237"/>
      <c r="K31" s="237"/>
    </row>
    <row r="32" spans="1:11" ht="14.4" customHeight="1" x14ac:dyDescent="0.3">
      <c r="A32" s="238"/>
      <c r="B32" s="518"/>
      <c r="C32" s="519"/>
      <c r="D32" s="519"/>
      <c r="E32" s="519"/>
      <c r="F32" s="519"/>
      <c r="G32" s="520"/>
      <c r="H32" s="239"/>
      <c r="I32" s="237"/>
      <c r="J32" s="237"/>
      <c r="K32" s="237"/>
    </row>
    <row r="33" spans="1:11" ht="14.4" customHeight="1" x14ac:dyDescent="0.3">
      <c r="A33" s="136"/>
      <c r="B33" s="518"/>
      <c r="C33" s="519"/>
      <c r="D33" s="519"/>
      <c r="E33" s="519"/>
      <c r="F33" s="519"/>
      <c r="G33" s="520"/>
      <c r="H33" s="216"/>
      <c r="I33" s="212"/>
      <c r="J33" s="212"/>
      <c r="K33" s="212"/>
    </row>
    <row r="34" spans="1:11" x14ac:dyDescent="0.3">
      <c r="A34" s="136"/>
      <c r="B34" s="518"/>
      <c r="C34" s="519"/>
      <c r="D34" s="519"/>
      <c r="E34" s="519"/>
      <c r="F34" s="519"/>
      <c r="G34" s="520"/>
      <c r="H34" s="216"/>
      <c r="I34" s="212"/>
      <c r="J34" s="212"/>
      <c r="K34" s="212"/>
    </row>
    <row r="35" spans="1:11" x14ac:dyDescent="0.3">
      <c r="A35" s="136"/>
      <c r="B35" s="518"/>
      <c r="C35" s="519"/>
      <c r="D35" s="519"/>
      <c r="E35" s="519"/>
      <c r="F35" s="519"/>
      <c r="G35" s="520"/>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477" t="s">
        <v>265</v>
      </c>
      <c r="D38" s="477"/>
      <c r="E38" s="477"/>
      <c r="F38" s="477"/>
      <c r="G38" s="478"/>
      <c r="H38" s="406" t="s">
        <v>31</v>
      </c>
      <c r="I38" s="407"/>
      <c r="J38" s="501">
        <f xml:space="preserve"> +SUM(K22+0)</f>
        <v>142400</v>
      </c>
      <c r="K38" s="502"/>
    </row>
    <row r="39" spans="1:11" x14ac:dyDescent="0.3">
      <c r="A39" s="11"/>
      <c r="B39" s="100"/>
      <c r="C39" s="479"/>
      <c r="D39" s="479"/>
      <c r="E39" s="479"/>
      <c r="F39" s="479"/>
      <c r="G39" s="480"/>
      <c r="H39" s="50" t="s">
        <v>32</v>
      </c>
      <c r="I39" s="38">
        <v>0.09</v>
      </c>
      <c r="J39" s="501">
        <f>K22 * I39</f>
        <v>12816</v>
      </c>
      <c r="K39" s="502"/>
    </row>
    <row r="40" spans="1:11" x14ac:dyDescent="0.3">
      <c r="A40" s="11"/>
      <c r="B40" s="100"/>
      <c r="C40" s="240"/>
      <c r="D40" s="240"/>
      <c r="E40" s="240"/>
      <c r="F40" s="240"/>
      <c r="G40" s="241"/>
      <c r="H40" s="50" t="s">
        <v>33</v>
      </c>
      <c r="I40" s="38">
        <v>0.09</v>
      </c>
      <c r="J40" s="501">
        <f>K22 * I40</f>
        <v>12816</v>
      </c>
      <c r="K40" s="502"/>
    </row>
    <row r="41" spans="1:11" x14ac:dyDescent="0.3">
      <c r="A41" s="5"/>
      <c r="B41" s="2"/>
      <c r="C41" s="218"/>
      <c r="D41" s="218"/>
      <c r="E41" s="218"/>
      <c r="F41" s="218"/>
      <c r="G41" s="223"/>
      <c r="H41" s="49" t="s">
        <v>34</v>
      </c>
      <c r="I41" s="390"/>
      <c r="J41" s="521">
        <f>+SUM(J38+J39+J40)</f>
        <v>168032</v>
      </c>
      <c r="K41" s="522"/>
    </row>
    <row r="42" spans="1:11" x14ac:dyDescent="0.3">
      <c r="J42" s="221"/>
      <c r="K42" s="221"/>
    </row>
    <row r="43" spans="1:11" x14ac:dyDescent="0.3">
      <c r="J43" s="221"/>
      <c r="K43" s="221"/>
    </row>
    <row r="44" spans="1:11" x14ac:dyDescent="0.3">
      <c r="A44" s="385" t="s">
        <v>36</v>
      </c>
      <c r="B44" s="385"/>
    </row>
    <row r="45" spans="1:11" x14ac:dyDescent="0.3">
      <c r="A45" s="385" t="s">
        <v>37</v>
      </c>
      <c r="B45" s="385"/>
      <c r="C45" t="s">
        <v>41</v>
      </c>
      <c r="I45" s="405"/>
      <c r="J45" s="405"/>
      <c r="K45" s="405"/>
    </row>
    <row r="46" spans="1:11" x14ac:dyDescent="0.3">
      <c r="A46" s="385" t="s">
        <v>38</v>
      </c>
      <c r="B46" s="385"/>
      <c r="C46" s="36" t="s">
        <v>42</v>
      </c>
      <c r="H46" s="119"/>
      <c r="I46" s="405"/>
      <c r="J46" s="405"/>
      <c r="K46" s="405"/>
    </row>
    <row r="47" spans="1:11" x14ac:dyDescent="0.3">
      <c r="A47" s="385" t="s">
        <v>39</v>
      </c>
      <c r="B47" s="385"/>
      <c r="C47" t="s">
        <v>44</v>
      </c>
      <c r="H47" s="119"/>
      <c r="I47" s="405"/>
      <c r="J47" s="405"/>
      <c r="K47" s="405"/>
    </row>
    <row r="48" spans="1:11" x14ac:dyDescent="0.3">
      <c r="A48" s="385" t="s">
        <v>40</v>
      </c>
      <c r="B48" s="385"/>
      <c r="C48" t="s">
        <v>43</v>
      </c>
      <c r="J48" s="54" t="s">
        <v>48</v>
      </c>
    </row>
  </sheetData>
  <mergeCells count="26">
    <mergeCell ref="B20:G21"/>
    <mergeCell ref="H20:H21"/>
    <mergeCell ref="I20:I21"/>
    <mergeCell ref="J20:J21"/>
    <mergeCell ref="A1:E10"/>
    <mergeCell ref="G1:K2"/>
    <mergeCell ref="H5:I5"/>
    <mergeCell ref="H6:J6"/>
    <mergeCell ref="H7:I7"/>
    <mergeCell ref="G10:I10"/>
    <mergeCell ref="J40:K40"/>
    <mergeCell ref="J41:K41"/>
    <mergeCell ref="I45:K47"/>
    <mergeCell ref="H9:I9"/>
    <mergeCell ref="B22:G35"/>
    <mergeCell ref="A38:B38"/>
    <mergeCell ref="C38:G39"/>
    <mergeCell ref="H38:I38"/>
    <mergeCell ref="J38:K38"/>
    <mergeCell ref="J39:K39"/>
    <mergeCell ref="A12:E12"/>
    <mergeCell ref="G12:K12"/>
    <mergeCell ref="A14:E15"/>
    <mergeCell ref="G14:K15"/>
    <mergeCell ref="G17:H17"/>
    <mergeCell ref="A20:A21"/>
  </mergeCells>
  <printOptions horizontalCentered="1" verticalCentered="1"/>
  <pageMargins left="0" right="0" top="0" bottom="0" header="0" footer="0"/>
  <pageSetup paperSize="9" orientation="portrait" r:id="rId1"/>
  <rowBreaks count="1" manualBreakCount="1">
    <brk id="21" max="16383" man="1"/>
  </rowBreaks>
  <colBreaks count="1" manualBreakCount="1">
    <brk id="9" max="1048575"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B274B-A98F-4715-A3C6-147E2ED4989F}">
  <sheetPr>
    <pageSetUpPr fitToPage="1"/>
  </sheetPr>
  <dimension ref="A1:K48"/>
  <sheetViews>
    <sheetView showWhiteSpace="0" view="pageBreakPreview" topLeftCell="A16" zoomScale="115" zoomScaleNormal="190" zoomScaleSheetLayoutView="115" zoomScalePageLayoutView="85" workbookViewId="0">
      <selection sqref="A1:E10"/>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11.77734375" customWidth="1"/>
    <col min="10" max="10" width="11.33203125" customWidth="1"/>
    <col min="11" max="11" width="11.44140625" customWidth="1"/>
    <col min="12" max="12" width="5.44140625" customWidth="1"/>
  </cols>
  <sheetData>
    <row r="1" spans="1:11" ht="14.25" customHeight="1" x14ac:dyDescent="0.3">
      <c r="A1" s="422"/>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272</v>
      </c>
      <c r="H4" s="171"/>
      <c r="I4" s="391"/>
      <c r="J4" s="9"/>
      <c r="K4" s="10"/>
    </row>
    <row r="5" spans="1:11" ht="14.4" customHeight="1" x14ac:dyDescent="0.3">
      <c r="A5" s="422"/>
      <c r="B5" s="422"/>
      <c r="C5" s="422"/>
      <c r="D5" s="422"/>
      <c r="E5" s="422"/>
      <c r="G5" s="49" t="s">
        <v>2</v>
      </c>
      <c r="H5" s="531">
        <v>46188</v>
      </c>
      <c r="I5" s="531"/>
      <c r="J5" s="2"/>
      <c r="K5" s="4"/>
    </row>
    <row r="6" spans="1:11" ht="14.25" customHeight="1" x14ac:dyDescent="0.3">
      <c r="A6" s="422"/>
      <c r="B6" s="422"/>
      <c r="C6" s="422"/>
      <c r="D6" s="422"/>
      <c r="E6" s="422"/>
      <c r="G6" s="386" t="s">
        <v>23</v>
      </c>
      <c r="H6" s="452">
        <v>55265497100802</v>
      </c>
      <c r="I6" s="452"/>
      <c r="J6" s="452"/>
      <c r="K6" s="10"/>
    </row>
    <row r="7" spans="1:11" ht="14.4" customHeight="1" x14ac:dyDescent="0.3">
      <c r="A7" s="422"/>
      <c r="B7" s="422"/>
      <c r="C7" s="422"/>
      <c r="D7" s="422"/>
      <c r="E7" s="422"/>
      <c r="G7" s="49" t="s">
        <v>2</v>
      </c>
      <c r="H7" s="531">
        <v>46142</v>
      </c>
      <c r="I7" s="531"/>
      <c r="J7" s="2"/>
      <c r="K7" s="4"/>
    </row>
    <row r="8" spans="1:11" ht="14.4" customHeight="1" x14ac:dyDescent="0.3">
      <c r="A8" s="422"/>
      <c r="B8" s="422"/>
      <c r="C8" s="422"/>
      <c r="D8" s="422"/>
      <c r="E8" s="422"/>
      <c r="G8" s="386" t="s">
        <v>273</v>
      </c>
      <c r="H8" s="391"/>
      <c r="I8" s="125"/>
      <c r="J8" s="9"/>
      <c r="K8" s="10"/>
    </row>
    <row r="9" spans="1:11" ht="14.4" customHeight="1" x14ac:dyDescent="0.3">
      <c r="A9" s="422"/>
      <c r="B9" s="422"/>
      <c r="C9" s="422"/>
      <c r="D9" s="422"/>
      <c r="E9" s="422"/>
      <c r="G9" s="49" t="s">
        <v>2</v>
      </c>
      <c r="H9" s="531">
        <v>46188</v>
      </c>
      <c r="I9" s="531"/>
      <c r="J9" s="2"/>
      <c r="K9" s="4"/>
    </row>
    <row r="10" spans="1:11" x14ac:dyDescent="0.3">
      <c r="A10" s="422"/>
      <c r="B10" s="422"/>
      <c r="C10" s="422"/>
      <c r="D10" s="422"/>
      <c r="E10" s="422"/>
      <c r="F10" s="100"/>
      <c r="G10" s="450" t="s">
        <v>276</v>
      </c>
      <c r="H10" s="533"/>
      <c r="I10" s="533"/>
      <c r="J10" s="129" t="s">
        <v>277</v>
      </c>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391"/>
      <c r="D13" s="391"/>
      <c r="E13" s="122"/>
      <c r="G13" s="386"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392" t="s">
        <v>73</v>
      </c>
      <c r="H16" s="132"/>
      <c r="I16" s="133"/>
      <c r="J16" s="61"/>
      <c r="K16" s="134"/>
    </row>
    <row r="17" spans="1:11" x14ac:dyDescent="0.3">
      <c r="A17" s="136" t="s">
        <v>78</v>
      </c>
      <c r="B17" s="100"/>
      <c r="C17" s="120"/>
      <c r="D17" s="121"/>
      <c r="E17" s="123"/>
      <c r="G17" s="497" t="s">
        <v>102</v>
      </c>
      <c r="H17" s="498"/>
      <c r="I17" s="61"/>
      <c r="J17" s="61"/>
      <c r="K17" s="134"/>
    </row>
    <row r="18" spans="1:11" ht="14.25" customHeight="1" x14ac:dyDescent="0.3">
      <c r="A18" s="137" t="s">
        <v>79</v>
      </c>
      <c r="B18" s="2"/>
      <c r="C18" s="389"/>
      <c r="D18" s="389"/>
      <c r="E18" s="124"/>
      <c r="G18" s="49" t="s">
        <v>75</v>
      </c>
      <c r="H18" s="2"/>
      <c r="I18" s="389"/>
      <c r="J18" s="2"/>
      <c r="K18" s="4"/>
    </row>
    <row r="20" spans="1:11" x14ac:dyDescent="0.3">
      <c r="A20" s="423" t="s">
        <v>25</v>
      </c>
      <c r="B20" s="467" t="s">
        <v>30</v>
      </c>
      <c r="C20" s="418"/>
      <c r="D20" s="418"/>
      <c r="E20" s="418"/>
      <c r="F20" s="418"/>
      <c r="G20" s="419"/>
      <c r="H20" s="419" t="s">
        <v>29</v>
      </c>
      <c r="I20" s="437" t="s">
        <v>104</v>
      </c>
      <c r="J20" s="499" t="s">
        <v>101</v>
      </c>
      <c r="K20" s="387" t="s">
        <v>26</v>
      </c>
    </row>
    <row r="21" spans="1:11" x14ac:dyDescent="0.3">
      <c r="A21" s="424"/>
      <c r="B21" s="468"/>
      <c r="C21" s="420"/>
      <c r="D21" s="420"/>
      <c r="E21" s="420"/>
      <c r="F21" s="420"/>
      <c r="G21" s="421"/>
      <c r="H21" s="421"/>
      <c r="I21" s="449"/>
      <c r="J21" s="500"/>
      <c r="K21" s="388"/>
    </row>
    <row r="22" spans="1:11" ht="14.4" customHeight="1" x14ac:dyDescent="0.3">
      <c r="A22" s="232">
        <v>1</v>
      </c>
      <c r="B22" s="515" t="s">
        <v>275</v>
      </c>
      <c r="C22" s="516"/>
      <c r="D22" s="516"/>
      <c r="E22" s="516"/>
      <c r="F22" s="516"/>
      <c r="G22" s="517"/>
      <c r="H22">
        <v>8468</v>
      </c>
      <c r="I22" s="232">
        <v>2000</v>
      </c>
      <c r="J22" s="160">
        <v>18</v>
      </c>
      <c r="K22" s="168">
        <f>SUM(J22*I22)</f>
        <v>36000</v>
      </c>
    </row>
    <row r="23" spans="1:11" ht="15.6" x14ac:dyDescent="0.3">
      <c r="A23" s="234"/>
      <c r="B23" s="518"/>
      <c r="C23" s="519"/>
      <c r="D23" s="519"/>
      <c r="E23" s="519"/>
      <c r="F23" s="519"/>
      <c r="G23" s="520"/>
      <c r="H23" s="383"/>
      <c r="I23" s="236"/>
      <c r="J23" s="237"/>
      <c r="K23" s="237"/>
    </row>
    <row r="24" spans="1:11" ht="15.6" x14ac:dyDescent="0.3">
      <c r="A24" s="234"/>
      <c r="B24" s="518"/>
      <c r="C24" s="519"/>
      <c r="D24" s="519"/>
      <c r="E24" s="519"/>
      <c r="F24" s="519"/>
      <c r="G24" s="520"/>
      <c r="H24" s="235"/>
      <c r="I24" s="236"/>
      <c r="J24" s="237"/>
      <c r="K24" s="237"/>
    </row>
    <row r="25" spans="1:11" ht="15.6" x14ac:dyDescent="0.3">
      <c r="A25" s="234"/>
      <c r="B25" s="518"/>
      <c r="C25" s="519"/>
      <c r="D25" s="519"/>
      <c r="E25" s="519"/>
      <c r="F25" s="519"/>
      <c r="G25" s="520"/>
      <c r="H25" s="235"/>
      <c r="I25" s="236"/>
      <c r="J25" s="237"/>
      <c r="K25" s="237"/>
    </row>
    <row r="26" spans="1:11" ht="15.6" x14ac:dyDescent="0.3">
      <c r="A26" s="234"/>
      <c r="B26" s="518"/>
      <c r="C26" s="519"/>
      <c r="D26" s="519"/>
      <c r="E26" s="519"/>
      <c r="F26" s="519"/>
      <c r="G26" s="520"/>
      <c r="H26" s="235"/>
      <c r="I26" s="236"/>
      <c r="J26" s="237"/>
      <c r="K26" s="237"/>
    </row>
    <row r="27" spans="1:11" ht="15.6" x14ac:dyDescent="0.3">
      <c r="A27" s="234"/>
      <c r="B27" s="518"/>
      <c r="C27" s="519"/>
      <c r="D27" s="519"/>
      <c r="E27" s="519"/>
      <c r="F27" s="519"/>
      <c r="G27" s="520"/>
      <c r="H27" s="235"/>
      <c r="I27" s="236"/>
      <c r="J27" s="237"/>
      <c r="K27" s="237"/>
    </row>
    <row r="28" spans="1:11" ht="15.6" x14ac:dyDescent="0.3">
      <c r="A28" s="234"/>
      <c r="B28" s="518"/>
      <c r="C28" s="519"/>
      <c r="D28" s="519"/>
      <c r="E28" s="519"/>
      <c r="F28" s="519"/>
      <c r="G28" s="520"/>
      <c r="H28" s="235"/>
      <c r="I28" s="236"/>
      <c r="J28" s="237"/>
      <c r="K28" s="237"/>
    </row>
    <row r="29" spans="1:11" ht="15.6" x14ac:dyDescent="0.3">
      <c r="A29" s="234"/>
      <c r="B29" s="518"/>
      <c r="C29" s="519"/>
      <c r="D29" s="519"/>
      <c r="E29" s="519"/>
      <c r="F29" s="519"/>
      <c r="G29" s="520"/>
      <c r="H29" s="235"/>
      <c r="I29" s="236"/>
      <c r="J29" s="237"/>
      <c r="K29" s="237"/>
    </row>
    <row r="30" spans="1:11" ht="14.4" customHeight="1" x14ac:dyDescent="0.3">
      <c r="A30" s="238"/>
      <c r="B30" s="518"/>
      <c r="C30" s="519"/>
      <c r="D30" s="519"/>
      <c r="E30" s="519"/>
      <c r="F30" s="519"/>
      <c r="G30" s="520"/>
      <c r="H30" s="239"/>
      <c r="I30" s="237"/>
      <c r="J30" s="237"/>
      <c r="K30" s="237"/>
    </row>
    <row r="31" spans="1:11" ht="14.4" customHeight="1" x14ac:dyDescent="0.3">
      <c r="A31" s="238"/>
      <c r="B31" s="518"/>
      <c r="C31" s="519"/>
      <c r="D31" s="519"/>
      <c r="E31" s="519"/>
      <c r="F31" s="519"/>
      <c r="G31" s="520"/>
      <c r="H31" s="239"/>
      <c r="I31" s="237"/>
      <c r="J31" s="237"/>
      <c r="K31" s="237"/>
    </row>
    <row r="32" spans="1:11" ht="14.4" customHeight="1" x14ac:dyDescent="0.3">
      <c r="A32" s="238"/>
      <c r="B32" s="518"/>
      <c r="C32" s="519"/>
      <c r="D32" s="519"/>
      <c r="E32" s="519"/>
      <c r="F32" s="519"/>
      <c r="G32" s="520"/>
      <c r="H32" s="239"/>
      <c r="I32" s="237"/>
      <c r="J32" s="237"/>
      <c r="K32" s="237"/>
    </row>
    <row r="33" spans="1:11" ht="14.4" customHeight="1" x14ac:dyDescent="0.3">
      <c r="A33" s="136"/>
      <c r="B33" s="518"/>
      <c r="C33" s="519"/>
      <c r="D33" s="519"/>
      <c r="E33" s="519"/>
      <c r="F33" s="519"/>
      <c r="G33" s="520"/>
      <c r="H33" s="216"/>
      <c r="I33" s="212"/>
      <c r="J33" s="212"/>
      <c r="K33" s="212"/>
    </row>
    <row r="34" spans="1:11" x14ac:dyDescent="0.3">
      <c r="A34" s="136"/>
      <c r="B34" s="518"/>
      <c r="C34" s="519"/>
      <c r="D34" s="519"/>
      <c r="E34" s="519"/>
      <c r="F34" s="519"/>
      <c r="G34" s="520"/>
      <c r="H34" s="216"/>
      <c r="I34" s="212"/>
      <c r="J34" s="212"/>
      <c r="K34" s="212"/>
    </row>
    <row r="35" spans="1:11" x14ac:dyDescent="0.3">
      <c r="A35" s="136"/>
      <c r="B35" s="518"/>
      <c r="C35" s="519"/>
      <c r="D35" s="519"/>
      <c r="E35" s="519"/>
      <c r="F35" s="519"/>
      <c r="G35" s="520"/>
      <c r="H35" s="216"/>
      <c r="I35" s="212"/>
      <c r="J35" s="212"/>
      <c r="K35" s="212"/>
    </row>
    <row r="36" spans="1:11" x14ac:dyDescent="0.3">
      <c r="A36" s="136"/>
      <c r="B36" s="45"/>
      <c r="C36" s="217"/>
      <c r="D36" s="217"/>
      <c r="E36" s="217"/>
      <c r="F36" s="217"/>
      <c r="G36" s="216"/>
      <c r="H36" s="216"/>
      <c r="I36" s="212"/>
      <c r="J36" s="212"/>
      <c r="K36" s="212"/>
    </row>
    <row r="37" spans="1:11" x14ac:dyDescent="0.3">
      <c r="A37" s="136"/>
      <c r="B37" s="46"/>
      <c r="C37" s="218"/>
      <c r="D37" s="218"/>
      <c r="E37" s="218"/>
      <c r="F37" s="218"/>
      <c r="G37" s="219"/>
      <c r="H37" s="216"/>
      <c r="I37" s="220"/>
      <c r="J37" s="220"/>
      <c r="K37" s="220"/>
    </row>
    <row r="38" spans="1:11" ht="14.4" customHeight="1" x14ac:dyDescent="0.3">
      <c r="A38" s="408" t="s">
        <v>35</v>
      </c>
      <c r="B38" s="409"/>
      <c r="C38" s="477" t="s">
        <v>274</v>
      </c>
      <c r="D38" s="477"/>
      <c r="E38" s="477"/>
      <c r="F38" s="477"/>
      <c r="G38" s="478"/>
      <c r="H38" s="406" t="s">
        <v>31</v>
      </c>
      <c r="I38" s="407"/>
      <c r="J38" s="501">
        <f xml:space="preserve"> +SUM(K22+0)</f>
        <v>36000</v>
      </c>
      <c r="K38" s="502"/>
    </row>
    <row r="39" spans="1:11" x14ac:dyDescent="0.3">
      <c r="A39" s="11"/>
      <c r="B39" s="100"/>
      <c r="C39" s="479"/>
      <c r="D39" s="479"/>
      <c r="E39" s="479"/>
      <c r="F39" s="479"/>
      <c r="G39" s="480"/>
      <c r="H39" s="50" t="s">
        <v>32</v>
      </c>
      <c r="I39" s="38">
        <v>0.09</v>
      </c>
      <c r="J39" s="501">
        <f>K22 * I39</f>
        <v>3240</v>
      </c>
      <c r="K39" s="502"/>
    </row>
    <row r="40" spans="1:11" x14ac:dyDescent="0.3">
      <c r="A40" s="11"/>
      <c r="B40" s="100"/>
      <c r="C40" s="240"/>
      <c r="D40" s="240"/>
      <c r="E40" s="240"/>
      <c r="F40" s="240"/>
      <c r="G40" s="241"/>
      <c r="H40" s="50" t="s">
        <v>33</v>
      </c>
      <c r="I40" s="38">
        <v>0.09</v>
      </c>
      <c r="J40" s="501">
        <f>K22 * I40</f>
        <v>3240</v>
      </c>
      <c r="K40" s="502"/>
    </row>
    <row r="41" spans="1:11" x14ac:dyDescent="0.3">
      <c r="A41" s="5"/>
      <c r="B41" s="2"/>
      <c r="C41" s="218"/>
      <c r="D41" s="218"/>
      <c r="E41" s="218"/>
      <c r="F41" s="218"/>
      <c r="G41" s="223"/>
      <c r="H41" s="49" t="s">
        <v>34</v>
      </c>
      <c r="I41" s="390"/>
      <c r="J41" s="521">
        <f>+SUM(J38+J39+J40)</f>
        <v>42480</v>
      </c>
      <c r="K41" s="522"/>
    </row>
    <row r="42" spans="1:11" x14ac:dyDescent="0.3">
      <c r="J42" s="221"/>
      <c r="K42" s="221"/>
    </row>
    <row r="43" spans="1:11" x14ac:dyDescent="0.3">
      <c r="J43" s="221"/>
      <c r="K43" s="221"/>
    </row>
    <row r="44" spans="1:11" x14ac:dyDescent="0.3">
      <c r="A44" s="385" t="s">
        <v>36</v>
      </c>
      <c r="B44" s="385"/>
    </row>
    <row r="45" spans="1:11" x14ac:dyDescent="0.3">
      <c r="A45" s="385" t="s">
        <v>37</v>
      </c>
      <c r="B45" s="385"/>
      <c r="C45" t="s">
        <v>41</v>
      </c>
      <c r="I45" s="405"/>
      <c r="J45" s="405"/>
      <c r="K45" s="405"/>
    </row>
    <row r="46" spans="1:11" x14ac:dyDescent="0.3">
      <c r="A46" s="385" t="s">
        <v>38</v>
      </c>
      <c r="B46" s="385"/>
      <c r="C46" s="36" t="s">
        <v>42</v>
      </c>
      <c r="H46" s="119"/>
      <c r="I46" s="405"/>
      <c r="J46" s="405"/>
      <c r="K46" s="405"/>
    </row>
    <row r="47" spans="1:11" x14ac:dyDescent="0.3">
      <c r="A47" s="385" t="s">
        <v>39</v>
      </c>
      <c r="B47" s="385"/>
      <c r="C47" t="s">
        <v>44</v>
      </c>
      <c r="H47" s="119"/>
      <c r="I47" s="405"/>
      <c r="J47" s="405"/>
      <c r="K47" s="405"/>
    </row>
    <row r="48" spans="1:11" x14ac:dyDescent="0.3">
      <c r="A48" s="385" t="s">
        <v>40</v>
      </c>
      <c r="B48" s="385"/>
      <c r="C48" t="s">
        <v>43</v>
      </c>
      <c r="J48" s="54" t="s">
        <v>48</v>
      </c>
    </row>
  </sheetData>
  <mergeCells count="26">
    <mergeCell ref="A1:E10"/>
    <mergeCell ref="G1:K2"/>
    <mergeCell ref="H5:I5"/>
    <mergeCell ref="H6:J6"/>
    <mergeCell ref="H7:I7"/>
    <mergeCell ref="H9:I9"/>
    <mergeCell ref="G10:I10"/>
    <mergeCell ref="A20:A21"/>
    <mergeCell ref="B20:G21"/>
    <mergeCell ref="H20:H21"/>
    <mergeCell ref="I20:I21"/>
    <mergeCell ref="J20:J21"/>
    <mergeCell ref="A12:E12"/>
    <mergeCell ref="G12:K12"/>
    <mergeCell ref="A14:E15"/>
    <mergeCell ref="G14:K15"/>
    <mergeCell ref="G17:H17"/>
    <mergeCell ref="J40:K40"/>
    <mergeCell ref="J41:K41"/>
    <mergeCell ref="I45:K47"/>
    <mergeCell ref="B22:G35"/>
    <mergeCell ref="A38:B38"/>
    <mergeCell ref="C38:G39"/>
    <mergeCell ref="H38:I38"/>
    <mergeCell ref="J38:K38"/>
    <mergeCell ref="J39:K39"/>
  </mergeCells>
  <printOptions horizontalCentered="1" verticalCentered="1"/>
  <pageMargins left="0" right="0" top="0" bottom="0" header="0" footer="0"/>
  <pageSetup paperSize="9" orientation="portrait" r:id="rId1"/>
  <rowBreaks count="1" manualBreakCount="1">
    <brk id="21" max="16383" man="1"/>
  </rowBreaks>
  <colBreaks count="1" manualBreakCount="1">
    <brk id="9" max="1048575" man="1"/>
  </col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7D0E2-8E66-4B89-B495-E7727DC9C3A9}">
  <sheetPr>
    <pageSetUpPr fitToPage="1"/>
  </sheetPr>
  <dimension ref="A1:N48"/>
  <sheetViews>
    <sheetView tabSelected="1" showWhiteSpace="0" view="pageBreakPreview" topLeftCell="A22" zoomScale="130" zoomScaleNormal="190" zoomScaleSheetLayoutView="130" zoomScalePageLayoutView="85" workbookViewId="0">
      <selection activeCell="I8" sqref="I8"/>
    </sheetView>
  </sheetViews>
  <sheetFormatPr defaultColWidth="8.6640625" defaultRowHeight="14.4" x14ac:dyDescent="0.3"/>
  <cols>
    <col min="1" max="1" width="8.6640625" customWidth="1"/>
    <col min="4" max="4" width="8.6640625" customWidth="1"/>
    <col min="5" max="5" width="9" customWidth="1"/>
    <col min="6" max="6" width="8.6640625" customWidth="1"/>
    <col min="7" max="8" width="6.109375" customWidth="1"/>
    <col min="9" max="9" width="11.77734375" customWidth="1"/>
    <col min="10" max="10" width="11.33203125" customWidth="1"/>
    <col min="11" max="11" width="11.44140625" customWidth="1"/>
    <col min="12" max="12" width="5.44140625" customWidth="1"/>
  </cols>
  <sheetData>
    <row r="1" spans="1:11" ht="14.25" customHeight="1" x14ac:dyDescent="0.3">
      <c r="A1" s="422"/>
      <c r="B1" s="422"/>
      <c r="C1" s="422"/>
      <c r="D1" s="422"/>
      <c r="E1" s="422"/>
      <c r="G1" s="416" t="s">
        <v>0</v>
      </c>
      <c r="H1" s="416"/>
      <c r="I1" s="416"/>
      <c r="J1" s="416"/>
      <c r="K1" s="416"/>
    </row>
    <row r="2" spans="1:11" ht="14.25" customHeight="1" x14ac:dyDescent="0.3">
      <c r="A2" s="422"/>
      <c r="B2" s="422"/>
      <c r="C2" s="422"/>
      <c r="D2" s="422"/>
      <c r="E2" s="422"/>
      <c r="G2" s="416"/>
      <c r="H2" s="416"/>
      <c r="I2" s="416"/>
      <c r="J2" s="416"/>
      <c r="K2" s="416"/>
    </row>
    <row r="3" spans="1:11" ht="14.25" customHeight="1" x14ac:dyDescent="0.3">
      <c r="A3" s="422"/>
      <c r="B3" s="422"/>
      <c r="C3" s="422"/>
      <c r="D3" s="422"/>
      <c r="E3" s="422"/>
      <c r="G3" s="131" t="s">
        <v>1</v>
      </c>
      <c r="H3" s="126"/>
      <c r="I3" s="126"/>
      <c r="J3" s="126"/>
      <c r="K3" s="127"/>
    </row>
    <row r="4" spans="1:11" ht="14.4" customHeight="1" x14ac:dyDescent="0.3">
      <c r="A4" s="422"/>
      <c r="B4" s="422"/>
      <c r="C4" s="422"/>
      <c r="D4" s="422"/>
      <c r="E4" s="422"/>
      <c r="G4" s="170" t="s">
        <v>285</v>
      </c>
      <c r="H4" s="171"/>
      <c r="I4" s="399"/>
      <c r="J4" s="9"/>
      <c r="K4" s="10"/>
    </row>
    <row r="5" spans="1:11" ht="14.4" customHeight="1" x14ac:dyDescent="0.3">
      <c r="A5" s="422"/>
      <c r="B5" s="422"/>
      <c r="C5" s="422"/>
      <c r="D5" s="422"/>
      <c r="E5" s="422"/>
      <c r="G5" s="49" t="s">
        <v>2</v>
      </c>
      <c r="H5" s="531">
        <v>46220</v>
      </c>
      <c r="I5" s="531"/>
      <c r="J5" s="2"/>
      <c r="K5" s="4"/>
    </row>
    <row r="6" spans="1:11" ht="14.25" customHeight="1" x14ac:dyDescent="0.3">
      <c r="A6" s="422"/>
      <c r="B6" s="422"/>
      <c r="C6" s="422"/>
      <c r="D6" s="422"/>
      <c r="E6" s="422"/>
      <c r="G6" s="397" t="s">
        <v>23</v>
      </c>
      <c r="H6" s="452">
        <v>55265457100634</v>
      </c>
      <c r="I6" s="452"/>
      <c r="J6" s="452"/>
      <c r="K6" s="10"/>
    </row>
    <row r="7" spans="1:11" ht="14.4" customHeight="1" x14ac:dyDescent="0.3">
      <c r="A7" s="422"/>
      <c r="B7" s="422"/>
      <c r="C7" s="422"/>
      <c r="D7" s="422"/>
      <c r="E7" s="422"/>
      <c r="G7" s="49" t="s">
        <v>2</v>
      </c>
      <c r="H7" s="531">
        <v>46121</v>
      </c>
      <c r="I7" s="531"/>
      <c r="J7" s="2"/>
      <c r="K7" s="4"/>
    </row>
    <row r="8" spans="1:11" ht="14.4" customHeight="1" x14ac:dyDescent="0.3">
      <c r="A8" s="422"/>
      <c r="B8" s="422"/>
      <c r="C8" s="422"/>
      <c r="D8" s="422"/>
      <c r="E8" s="422"/>
      <c r="G8" s="397" t="s">
        <v>286</v>
      </c>
      <c r="H8" s="399"/>
      <c r="I8" s="125"/>
      <c r="J8" s="9"/>
      <c r="K8" s="10"/>
    </row>
    <row r="9" spans="1:11" ht="14.4" customHeight="1" x14ac:dyDescent="0.3">
      <c r="A9" s="422"/>
      <c r="B9" s="422"/>
      <c r="C9" s="422"/>
      <c r="D9" s="422"/>
      <c r="E9" s="422"/>
      <c r="G9" s="49" t="s">
        <v>2</v>
      </c>
      <c r="H9" s="531">
        <v>46220</v>
      </c>
      <c r="I9" s="531"/>
      <c r="J9" s="2"/>
      <c r="K9" s="4"/>
    </row>
    <row r="10" spans="1:11" x14ac:dyDescent="0.3">
      <c r="A10" s="422"/>
      <c r="B10" s="422"/>
      <c r="C10" s="422"/>
      <c r="D10" s="422"/>
      <c r="E10" s="422"/>
      <c r="F10" s="100"/>
      <c r="G10" s="450" t="s">
        <v>284</v>
      </c>
      <c r="H10" s="533"/>
      <c r="I10" s="533"/>
      <c r="J10" s="129" t="s">
        <v>250</v>
      </c>
      <c r="K10" s="188"/>
    </row>
    <row r="11" spans="1:11" ht="14.25" customHeight="1" x14ac:dyDescent="0.3">
      <c r="F11" s="100"/>
      <c r="G11" s="100"/>
      <c r="H11" s="100"/>
      <c r="I11" s="100"/>
      <c r="J11" s="100"/>
    </row>
    <row r="12" spans="1:11" ht="14.25" customHeight="1" x14ac:dyDescent="0.3">
      <c r="A12" s="457" t="s">
        <v>10</v>
      </c>
      <c r="B12" s="458"/>
      <c r="C12" s="458"/>
      <c r="D12" s="458"/>
      <c r="E12" s="459"/>
      <c r="G12" s="460" t="s">
        <v>4</v>
      </c>
      <c r="H12" s="460"/>
      <c r="I12" s="460"/>
      <c r="J12" s="460"/>
      <c r="K12" s="460"/>
    </row>
    <row r="13" spans="1:11" ht="14.25" customHeight="1" x14ac:dyDescent="0.3">
      <c r="A13" s="135" t="s">
        <v>76</v>
      </c>
      <c r="B13" s="9"/>
      <c r="C13" s="399"/>
      <c r="D13" s="399"/>
      <c r="E13" s="122"/>
      <c r="G13" s="397" t="s">
        <v>5</v>
      </c>
      <c r="H13" s="103" t="s">
        <v>63</v>
      </c>
      <c r="I13" s="12"/>
      <c r="J13" s="13"/>
      <c r="K13" s="10"/>
    </row>
    <row r="14" spans="1:11" ht="14.25" customHeight="1" x14ac:dyDescent="0.3">
      <c r="A14" s="461" t="s">
        <v>80</v>
      </c>
      <c r="B14" s="465"/>
      <c r="C14" s="465"/>
      <c r="D14" s="465"/>
      <c r="E14" s="466"/>
      <c r="G14" s="461" t="s">
        <v>74</v>
      </c>
      <c r="H14" s="462"/>
      <c r="I14" s="462"/>
      <c r="J14" s="462"/>
      <c r="K14" s="463"/>
    </row>
    <row r="15" spans="1:11" ht="14.25" customHeight="1" x14ac:dyDescent="0.3">
      <c r="A15" s="461"/>
      <c r="B15" s="465"/>
      <c r="C15" s="465"/>
      <c r="D15" s="465"/>
      <c r="E15" s="466"/>
      <c r="G15" s="464"/>
      <c r="H15" s="462"/>
      <c r="I15" s="462"/>
      <c r="J15" s="462"/>
      <c r="K15" s="463"/>
    </row>
    <row r="16" spans="1:11" x14ac:dyDescent="0.3">
      <c r="A16" s="136" t="s">
        <v>77</v>
      </c>
      <c r="B16" s="100"/>
      <c r="C16" s="70"/>
      <c r="D16" s="70"/>
      <c r="E16" s="123"/>
      <c r="G16" s="400" t="s">
        <v>73</v>
      </c>
      <c r="H16" s="132"/>
      <c r="I16" s="133"/>
      <c r="J16" s="61"/>
      <c r="K16" s="134"/>
    </row>
    <row r="17" spans="1:14" x14ac:dyDescent="0.3">
      <c r="A17" s="136" t="s">
        <v>78</v>
      </c>
      <c r="B17" s="100"/>
      <c r="C17" s="120"/>
      <c r="D17" s="121"/>
      <c r="E17" s="123"/>
      <c r="G17" s="497" t="s">
        <v>102</v>
      </c>
      <c r="H17" s="498"/>
      <c r="I17" s="61"/>
      <c r="J17" s="61"/>
      <c r="K17" s="134"/>
    </row>
    <row r="18" spans="1:14" ht="14.25" customHeight="1" x14ac:dyDescent="0.3">
      <c r="A18" s="137" t="s">
        <v>79</v>
      </c>
      <c r="B18" s="2"/>
      <c r="C18" s="393"/>
      <c r="D18" s="393"/>
      <c r="E18" s="124"/>
      <c r="G18" s="49" t="s">
        <v>75</v>
      </c>
      <c r="H18" s="2"/>
      <c r="I18" s="393"/>
      <c r="J18" s="2"/>
      <c r="K18" s="4"/>
    </row>
    <row r="20" spans="1:14" x14ac:dyDescent="0.3">
      <c r="A20" s="423" t="s">
        <v>25</v>
      </c>
      <c r="B20" s="467" t="s">
        <v>30</v>
      </c>
      <c r="C20" s="418"/>
      <c r="D20" s="418"/>
      <c r="E20" s="418"/>
      <c r="F20" s="418"/>
      <c r="G20" s="419"/>
      <c r="H20" s="419" t="s">
        <v>29</v>
      </c>
      <c r="I20" s="437" t="s">
        <v>104</v>
      </c>
      <c r="J20" s="499" t="s">
        <v>101</v>
      </c>
      <c r="K20" s="395" t="s">
        <v>26</v>
      </c>
    </row>
    <row r="21" spans="1:14" x14ac:dyDescent="0.3">
      <c r="A21" s="424"/>
      <c r="B21" s="468"/>
      <c r="C21" s="420"/>
      <c r="D21" s="420"/>
      <c r="E21" s="420"/>
      <c r="F21" s="420"/>
      <c r="G21" s="421"/>
      <c r="H21" s="421"/>
      <c r="I21" s="449"/>
      <c r="J21" s="500"/>
      <c r="K21" s="396"/>
    </row>
    <row r="22" spans="1:14" ht="14.4" customHeight="1" x14ac:dyDescent="0.3">
      <c r="A22" s="232">
        <v>1</v>
      </c>
      <c r="B22" s="515" t="s">
        <v>278</v>
      </c>
      <c r="C22" s="516"/>
      <c r="D22" s="516"/>
      <c r="E22" s="516"/>
      <c r="F22" s="516"/>
      <c r="G22" s="517"/>
      <c r="H22" s="9">
        <v>7318</v>
      </c>
      <c r="I22" s="232">
        <v>2000</v>
      </c>
      <c r="J22" s="160">
        <v>16.5</v>
      </c>
      <c r="K22" s="168">
        <f>SUM(J22*I22)</f>
        <v>33000</v>
      </c>
    </row>
    <row r="23" spans="1:14" ht="15.6" x14ac:dyDescent="0.3">
      <c r="A23" s="234"/>
      <c r="B23" s="518"/>
      <c r="C23" s="519"/>
      <c r="D23" s="519"/>
      <c r="E23" s="519"/>
      <c r="F23" s="519"/>
      <c r="G23" s="520"/>
      <c r="H23" s="383"/>
      <c r="I23" s="236"/>
      <c r="J23" s="541"/>
      <c r="K23" s="237"/>
    </row>
    <row r="24" spans="1:14" ht="15.6" x14ac:dyDescent="0.3">
      <c r="A24" s="236"/>
      <c r="B24" s="401"/>
      <c r="C24" s="402"/>
      <c r="D24" s="402"/>
      <c r="E24" s="402"/>
      <c r="F24" s="402"/>
      <c r="G24" s="403"/>
      <c r="H24" s="235"/>
      <c r="I24" s="236"/>
      <c r="J24" s="541"/>
      <c r="K24" s="237"/>
    </row>
    <row r="25" spans="1:14" ht="15.6" x14ac:dyDescent="0.3">
      <c r="A25" s="236">
        <v>2</v>
      </c>
      <c r="B25" s="518" t="s">
        <v>279</v>
      </c>
      <c r="C25" s="519"/>
      <c r="D25" s="519"/>
      <c r="E25" s="519"/>
      <c r="F25" s="519"/>
      <c r="G25" s="520"/>
      <c r="H25" s="34">
        <v>7318</v>
      </c>
      <c r="I25" s="236">
        <v>2000</v>
      </c>
      <c r="J25" s="541">
        <v>13</v>
      </c>
      <c r="K25" s="547">
        <f>SUM(J25*I25)</f>
        <v>26000</v>
      </c>
    </row>
    <row r="26" spans="1:14" ht="15.6" x14ac:dyDescent="0.3">
      <c r="A26" s="236"/>
      <c r="B26" s="518"/>
      <c r="C26" s="519"/>
      <c r="D26" s="519"/>
      <c r="E26" s="519"/>
      <c r="F26" s="519"/>
      <c r="G26" s="520"/>
      <c r="H26" s="544"/>
      <c r="I26" s="236"/>
      <c r="J26" s="541"/>
      <c r="K26" s="237"/>
    </row>
    <row r="27" spans="1:14" ht="15.6" x14ac:dyDescent="0.3">
      <c r="A27" s="236"/>
      <c r="B27" s="401"/>
      <c r="C27" s="402"/>
      <c r="D27" s="402"/>
      <c r="E27" s="402"/>
      <c r="F27" s="402"/>
      <c r="G27" s="403"/>
      <c r="H27" s="235"/>
      <c r="I27" s="236"/>
      <c r="J27" s="541"/>
      <c r="K27" s="237"/>
    </row>
    <row r="28" spans="1:14" ht="15.6" x14ac:dyDescent="0.3">
      <c r="A28" s="236">
        <v>3</v>
      </c>
      <c r="B28" s="518" t="s">
        <v>281</v>
      </c>
      <c r="C28" s="519"/>
      <c r="D28" s="519"/>
      <c r="E28" s="519"/>
      <c r="F28" s="519"/>
      <c r="G28" s="520"/>
      <c r="H28" s="34">
        <v>7318</v>
      </c>
      <c r="I28" s="236">
        <v>2000</v>
      </c>
      <c r="J28" s="541">
        <v>8</v>
      </c>
      <c r="K28" s="547">
        <f>SUM(J28*I28)</f>
        <v>16000</v>
      </c>
    </row>
    <row r="29" spans="1:14" ht="15.6" x14ac:dyDescent="0.3">
      <c r="A29" s="236"/>
      <c r="B29" s="518"/>
      <c r="C29" s="519"/>
      <c r="D29" s="519"/>
      <c r="E29" s="519"/>
      <c r="F29" s="519"/>
      <c r="G29" s="520"/>
      <c r="H29" s="544"/>
      <c r="I29" s="236"/>
      <c r="J29" s="541"/>
      <c r="K29" s="237"/>
    </row>
    <row r="30" spans="1:14" ht="14.4" customHeight="1" x14ac:dyDescent="0.3">
      <c r="A30" s="237"/>
      <c r="B30" s="401"/>
      <c r="C30" s="402"/>
      <c r="D30" s="402"/>
      <c r="E30" s="402"/>
      <c r="F30" s="402"/>
      <c r="G30" s="403"/>
      <c r="H30" s="545"/>
      <c r="I30" s="237"/>
      <c r="J30" s="541"/>
      <c r="K30" s="237"/>
    </row>
    <row r="31" spans="1:14" ht="14.4" customHeight="1" x14ac:dyDescent="0.3">
      <c r="A31" s="237">
        <v>4</v>
      </c>
      <c r="B31" s="538" t="s">
        <v>280</v>
      </c>
      <c r="C31" s="539"/>
      <c r="D31" s="539"/>
      <c r="E31" s="539"/>
      <c r="F31" s="539"/>
      <c r="G31" s="540"/>
      <c r="H31" s="100">
        <v>7318</v>
      </c>
      <c r="I31" s="236">
        <v>2000</v>
      </c>
      <c r="J31" s="541">
        <v>6</v>
      </c>
      <c r="K31" s="547">
        <f>SUM(J31*I31)</f>
        <v>12000</v>
      </c>
      <c r="N31" s="100"/>
    </row>
    <row r="32" spans="1:14" ht="14.4" customHeight="1" x14ac:dyDescent="0.3">
      <c r="A32" s="237"/>
      <c r="B32" s="538"/>
      <c r="C32" s="539"/>
      <c r="D32" s="539"/>
      <c r="E32" s="539"/>
      <c r="F32" s="539"/>
      <c r="G32" s="540"/>
      <c r="H32" s="239"/>
      <c r="I32" s="237"/>
      <c r="J32" s="541"/>
      <c r="K32" s="237"/>
    </row>
    <row r="33" spans="1:11" ht="14.4" customHeight="1" x14ac:dyDescent="0.3">
      <c r="A33" s="212"/>
      <c r="B33" s="401"/>
      <c r="C33" s="402"/>
      <c r="D33" s="402"/>
      <c r="E33" s="402"/>
      <c r="F33" s="402"/>
      <c r="G33" s="403"/>
      <c r="H33" s="546"/>
      <c r="I33" s="212"/>
      <c r="J33" s="542"/>
      <c r="K33" s="212"/>
    </row>
    <row r="34" spans="1:11" ht="14.4" customHeight="1" x14ac:dyDescent="0.3">
      <c r="A34" s="212">
        <v>5</v>
      </c>
      <c r="B34" s="538" t="s">
        <v>282</v>
      </c>
      <c r="C34" s="539"/>
      <c r="D34" s="539"/>
      <c r="E34" s="539"/>
      <c r="F34" s="539"/>
      <c r="G34" s="540"/>
      <c r="H34" s="34">
        <v>7318</v>
      </c>
      <c r="I34" s="236">
        <v>2000</v>
      </c>
      <c r="J34" s="541">
        <v>30.5</v>
      </c>
      <c r="K34" s="547">
        <f>SUM(J34*I34)</f>
        <v>61000</v>
      </c>
    </row>
    <row r="35" spans="1:11" ht="14.4" customHeight="1" x14ac:dyDescent="0.3">
      <c r="A35" s="220"/>
      <c r="B35" s="538"/>
      <c r="C35" s="539"/>
      <c r="D35" s="539"/>
      <c r="E35" s="539"/>
      <c r="F35" s="539"/>
      <c r="G35" s="540"/>
      <c r="H35" s="216"/>
      <c r="I35" s="212"/>
      <c r="J35" s="542"/>
      <c r="K35" s="212"/>
    </row>
    <row r="36" spans="1:11" x14ac:dyDescent="0.3">
      <c r="A36" s="136"/>
      <c r="B36" s="76"/>
      <c r="C36" s="534"/>
      <c r="D36" s="534"/>
      <c r="E36" s="534"/>
      <c r="F36" s="534"/>
      <c r="G36" s="535"/>
      <c r="H36" s="546"/>
      <c r="I36" s="212"/>
      <c r="J36" s="542"/>
      <c r="K36" s="212"/>
    </row>
    <row r="37" spans="1:11" x14ac:dyDescent="0.3">
      <c r="A37" s="136"/>
      <c r="B37" s="77"/>
      <c r="C37" s="536"/>
      <c r="D37" s="536"/>
      <c r="E37" s="536"/>
      <c r="F37" s="536"/>
      <c r="G37" s="537"/>
      <c r="H37" s="216"/>
      <c r="I37" s="220"/>
      <c r="J37" s="543"/>
      <c r="K37" s="220"/>
    </row>
    <row r="38" spans="1:11" ht="14.4" customHeight="1" x14ac:dyDescent="0.3">
      <c r="A38" s="408" t="s">
        <v>35</v>
      </c>
      <c r="B38" s="409"/>
      <c r="C38" s="477" t="s">
        <v>283</v>
      </c>
      <c r="D38" s="477"/>
      <c r="E38" s="477"/>
      <c r="F38" s="477"/>
      <c r="G38" s="478"/>
      <c r="H38" s="406" t="s">
        <v>31</v>
      </c>
      <c r="I38" s="407"/>
      <c r="J38" s="501" cm="1">
        <f t="array" ref="J38" xml:space="preserve"> +SUM(K22:K37+0)</f>
        <v>148000</v>
      </c>
      <c r="K38" s="502"/>
    </row>
    <row r="39" spans="1:11" x14ac:dyDescent="0.3">
      <c r="A39" s="11"/>
      <c r="B39" s="100"/>
      <c r="C39" s="479"/>
      <c r="D39" s="479"/>
      <c r="E39" s="479"/>
      <c r="F39" s="479"/>
      <c r="G39" s="480"/>
      <c r="H39" s="50" t="s">
        <v>32</v>
      </c>
      <c r="I39" s="38">
        <v>0.09</v>
      </c>
      <c r="J39" s="501">
        <f>J38 * I39</f>
        <v>13320</v>
      </c>
      <c r="K39" s="502"/>
    </row>
    <row r="40" spans="1:11" x14ac:dyDescent="0.3">
      <c r="A40" s="11"/>
      <c r="B40" s="100"/>
      <c r="C40" s="240"/>
      <c r="D40" s="240"/>
      <c r="E40" s="240"/>
      <c r="F40" s="240"/>
      <c r="G40" s="241"/>
      <c r="H40" s="50" t="s">
        <v>33</v>
      </c>
      <c r="I40" s="38">
        <v>0.09</v>
      </c>
      <c r="J40" s="501">
        <f>J38 * I40</f>
        <v>13320</v>
      </c>
      <c r="K40" s="502"/>
    </row>
    <row r="41" spans="1:11" x14ac:dyDescent="0.3">
      <c r="A41" s="5"/>
      <c r="B41" s="2"/>
      <c r="C41" s="218"/>
      <c r="D41" s="218"/>
      <c r="E41" s="218"/>
      <c r="F41" s="218"/>
      <c r="G41" s="223"/>
      <c r="H41" s="49" t="s">
        <v>34</v>
      </c>
      <c r="I41" s="394"/>
      <c r="J41" s="521">
        <f>+SUM(J38+J39+J40)</f>
        <v>174640</v>
      </c>
      <c r="K41" s="522"/>
    </row>
    <row r="42" spans="1:11" x14ac:dyDescent="0.3">
      <c r="J42" s="221"/>
      <c r="K42" s="221"/>
    </row>
    <row r="43" spans="1:11" x14ac:dyDescent="0.3">
      <c r="J43" s="221"/>
      <c r="K43" s="221"/>
    </row>
    <row r="44" spans="1:11" x14ac:dyDescent="0.3">
      <c r="A44" s="398" t="s">
        <v>36</v>
      </c>
      <c r="B44" s="398"/>
    </row>
    <row r="45" spans="1:11" x14ac:dyDescent="0.3">
      <c r="A45" s="398" t="s">
        <v>37</v>
      </c>
      <c r="B45" s="398"/>
      <c r="C45" t="s">
        <v>41</v>
      </c>
      <c r="I45" s="405"/>
      <c r="J45" s="405"/>
      <c r="K45" s="405"/>
    </row>
    <row r="46" spans="1:11" x14ac:dyDescent="0.3">
      <c r="A46" s="398" t="s">
        <v>38</v>
      </c>
      <c r="B46" s="398"/>
      <c r="C46" s="36" t="s">
        <v>42</v>
      </c>
      <c r="H46" s="119"/>
      <c r="I46" s="405"/>
      <c r="J46" s="405"/>
      <c r="K46" s="405"/>
    </row>
    <row r="47" spans="1:11" x14ac:dyDescent="0.3">
      <c r="A47" s="398" t="s">
        <v>39</v>
      </c>
      <c r="B47" s="398"/>
      <c r="C47" t="s">
        <v>44</v>
      </c>
      <c r="H47" s="119"/>
      <c r="I47" s="405"/>
      <c r="J47" s="405"/>
      <c r="K47" s="405"/>
    </row>
    <row r="48" spans="1:11" x14ac:dyDescent="0.3">
      <c r="A48" s="398" t="s">
        <v>40</v>
      </c>
      <c r="B48" s="398"/>
      <c r="C48" t="s">
        <v>43</v>
      </c>
      <c r="J48" s="54" t="s">
        <v>48</v>
      </c>
    </row>
  </sheetData>
  <mergeCells count="30">
    <mergeCell ref="J40:K40"/>
    <mergeCell ref="J41:K41"/>
    <mergeCell ref="I45:K47"/>
    <mergeCell ref="B22:G23"/>
    <mergeCell ref="B25:G26"/>
    <mergeCell ref="B28:G29"/>
    <mergeCell ref="B31:G32"/>
    <mergeCell ref="B34:G35"/>
    <mergeCell ref="A38:B38"/>
    <mergeCell ref="C38:G39"/>
    <mergeCell ref="H38:I38"/>
    <mergeCell ref="J38:K38"/>
    <mergeCell ref="J39:K39"/>
    <mergeCell ref="A12:E12"/>
    <mergeCell ref="G12:K12"/>
    <mergeCell ref="A14:E15"/>
    <mergeCell ref="G14:K15"/>
    <mergeCell ref="G17:H17"/>
    <mergeCell ref="A20:A21"/>
    <mergeCell ref="B20:G21"/>
    <mergeCell ref="H20:H21"/>
    <mergeCell ref="I20:I21"/>
    <mergeCell ref="J20:J21"/>
    <mergeCell ref="A1:E10"/>
    <mergeCell ref="G1:K2"/>
    <mergeCell ref="H5:I5"/>
    <mergeCell ref="H6:J6"/>
    <mergeCell ref="H7:I7"/>
    <mergeCell ref="H9:I9"/>
    <mergeCell ref="G10:I10"/>
  </mergeCells>
  <printOptions horizontalCentered="1" verticalCentered="1"/>
  <pageMargins left="0" right="0" top="0" bottom="0" header="0" footer="0"/>
  <pageSetup paperSize="9" orientation="portrait" r:id="rId1"/>
  <rowBreaks count="1" manualBreakCount="1">
    <brk id="21" max="16383" man="1"/>
  </rowBreaks>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Sheet1</vt:lpstr>
      <vt:lpstr>6</vt:lpstr>
      <vt:lpstr>13</vt:lpstr>
      <vt:lpstr>04</vt:lpstr>
      <vt:lpstr>10</vt:lpstr>
      <vt:lpstr>14</vt:lpstr>
      <vt:lpstr>Eco Solvent</vt:lpstr>
      <vt:lpstr>15</vt:lpstr>
      <vt:lpstr>17</vt:lpstr>
      <vt:lpstr>makita angle grinder</vt:lpstr>
      <vt:lpstr>18</vt:lpstr>
      <vt:lpstr>12</vt:lpstr>
      <vt:lpstr>19</vt:lpstr>
      <vt:lpstr>20</vt:lpstr>
      <vt:lpstr>21</vt:lpstr>
      <vt:lpstr>22</vt:lpstr>
      <vt:lpstr>23</vt:lpstr>
      <vt:lpstr>24</vt:lpstr>
      <vt:lpstr>25</vt:lpstr>
      <vt:lpstr>26</vt:lpstr>
      <vt:lpstr>27</vt:lpstr>
      <vt:lpstr>29</vt:lpstr>
      <vt:lpstr>30</vt:lpstr>
      <vt:lpstr>32</vt:lpstr>
      <vt:lpstr>33</vt:lpstr>
      <vt:lpstr>34</vt:lpstr>
      <vt:lpstr>35</vt:lpstr>
      <vt:lpstr>36</vt:lpstr>
      <vt:lpstr>37</vt:lpstr>
      <vt:lpstr>38</vt:lpstr>
      <vt:lpstr>39</vt:lpstr>
      <vt:lpstr>40</vt:lpstr>
      <vt:lpstr>41</vt:lpstr>
      <vt:lpstr>42</vt:lpstr>
      <vt:lpstr>43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Tejash Kumar</dc:creator>
  <cp:lastModifiedBy>Tejash Kr</cp:lastModifiedBy>
  <cp:lastPrinted>2026-07-17T16:44:29Z</cp:lastPrinted>
  <dcterms:created xsi:type="dcterms:W3CDTF">2025-01-16T08:24:28Z</dcterms:created>
  <dcterms:modified xsi:type="dcterms:W3CDTF">2026-07-17T17:09:35Z</dcterms:modified>
</cp:coreProperties>
</file>